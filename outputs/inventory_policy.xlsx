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olicy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<sst xmlns="http://schemas.openxmlformats.org/spreadsheetml/2006/main" count="273" uniqueCount="195">
  <si>
    <t xml:space="preserve">Inventory policy model: assumptions (blue cells are inputs, change them freely)</t>
  </si>
  <si>
    <t xml:space="preserve">Ordering cost per purchase order (GBP)</t>
  </si>
  <si>
    <t xml:space="preserve">Assumed</t>
  </si>
  <si>
    <t xml:space="preserve">Annual holding cost (fraction of unit price)</t>
  </si>
  <si>
    <t xml:space="preserve">Supplier lead time (weeks)</t>
  </si>
  <si>
    <t xml:space="preserve">Service-level z value (1.645 = 95%)</t>
  </si>
  <si>
    <t xml:space="preserve">Standard normal table</t>
  </si>
  <si>
    <t xml:space="preserve">Weeks per year</t>
  </si>
  <si>
    <t xml:space="preserve">Baseline: orders per year (monthly ordering)</t>
  </si>
  <si>
    <t xml:space="preserve">Comparison case</t>
  </si>
  <si>
    <t xml:space="preserve">Demand and price inputs on the Policy sheet come from src/analysis.py (UCI Online Retail dataset, Dec 2010 to Dec 2011).</t>
  </si>
  <si>
    <t xml:space="preserve">Stock code</t>
  </si>
  <si>
    <t xml:space="preserve">Description</t>
  </si>
  <si>
    <t xml:space="preserve">ABC class</t>
  </si>
  <si>
    <t xml:space="preserve">Avg weekly demand (units)</t>
  </si>
  <si>
    <t xml:space="preserve">Std dev of weekly forecast error</t>
  </si>
  <si>
    <t xml:space="preserve">Unit price (GBP)</t>
  </si>
  <si>
    <t xml:space="preserve">Annual demand</t>
  </si>
  <si>
    <t xml:space="preserve">Holding cost per unit-year</t>
  </si>
  <si>
    <t xml:space="preserve">EOQ (units)</t>
  </si>
  <si>
    <t xml:space="preserve">Safety stock</t>
  </si>
  <si>
    <t xml:space="preserve">Reorder point</t>
  </si>
  <si>
    <t xml:space="preserve">Orders per year</t>
  </si>
  <si>
    <t xml:space="preserve">Annual cost at EOQ (GBP)</t>
  </si>
  <si>
    <t xml:space="preserve">Annual cost, monthly ordering (GBP)</t>
  </si>
  <si>
    <t xml:space="preserve">22423</t>
  </si>
  <si>
    <t xml:space="preserve">Regency Cakestand 3 Tier</t>
  </si>
  <si>
    <t xml:space="preserve">A</t>
  </si>
  <si>
    <t xml:space="preserve">47566</t>
  </si>
  <si>
    <t xml:space="preserve">Party Bunting</t>
  </si>
  <si>
    <t xml:space="preserve">85123A</t>
  </si>
  <si>
    <t xml:space="preserve">White Hanging Heart T-Light Holder</t>
  </si>
  <si>
    <t xml:space="preserve">85099B</t>
  </si>
  <si>
    <t xml:space="preserve">Jumbo Bag Red Retrospot</t>
  </si>
  <si>
    <t xml:space="preserve">84879</t>
  </si>
  <si>
    <t xml:space="preserve">Assorted Colour Bird Ornament</t>
  </si>
  <si>
    <t xml:space="preserve">79321</t>
  </si>
  <si>
    <t xml:space="preserve">Chilli Lights</t>
  </si>
  <si>
    <t xml:space="preserve">22197</t>
  </si>
  <si>
    <t xml:space="preserve">Small Popcorn Holder</t>
  </si>
  <si>
    <t xml:space="preserve">21137</t>
  </si>
  <si>
    <t xml:space="preserve">Black Record Cover Frame</t>
  </si>
  <si>
    <t xml:space="preserve">22386</t>
  </si>
  <si>
    <t xml:space="preserve">Jumbo Bag Pink Polkadot</t>
  </si>
  <si>
    <t xml:space="preserve">22720</t>
  </si>
  <si>
    <t xml:space="preserve">Set Of 3 Cake Tins Pantry Design </t>
  </si>
  <si>
    <t xml:space="preserve">22960</t>
  </si>
  <si>
    <t xml:space="preserve">Jam Making Set With Jars</t>
  </si>
  <si>
    <t xml:space="preserve">82484</t>
  </si>
  <si>
    <t xml:space="preserve">Wood Black Board Ant White Finish</t>
  </si>
  <si>
    <t xml:space="preserve">20725</t>
  </si>
  <si>
    <t xml:space="preserve">Lunch Bag Red Retrospot</t>
  </si>
  <si>
    <t xml:space="preserve">22178</t>
  </si>
  <si>
    <t xml:space="preserve">Victorian Glass Hanging T-Light</t>
  </si>
  <si>
    <t xml:space="preserve">22112</t>
  </si>
  <si>
    <t xml:space="preserve">Chocolate Hot Water Bottle</t>
  </si>
  <si>
    <t xml:space="preserve">22469</t>
  </si>
  <si>
    <t xml:space="preserve">Heart Of Wicker Small</t>
  </si>
  <si>
    <t xml:space="preserve">22727</t>
  </si>
  <si>
    <t xml:space="preserve">Alarm Clock Bakelike Red </t>
  </si>
  <si>
    <t xml:space="preserve">85099F</t>
  </si>
  <si>
    <t xml:space="preserve">Jumbo Bag Strawberry</t>
  </si>
  <si>
    <t xml:space="preserve">22355</t>
  </si>
  <si>
    <t xml:space="preserve">Charlotte Bag Suki Design</t>
  </si>
  <si>
    <t xml:space="preserve">22457</t>
  </si>
  <si>
    <t xml:space="preserve">Natural Slate Heart Chalkboard </t>
  </si>
  <si>
    <t xml:space="preserve">22699</t>
  </si>
  <si>
    <t xml:space="preserve">Roses Regency Teacup And Saucer </t>
  </si>
  <si>
    <t xml:space="preserve">21931</t>
  </si>
  <si>
    <t xml:space="preserve">Jumbo Storage Bag Suki</t>
  </si>
  <si>
    <t xml:space="preserve">20685</t>
  </si>
  <si>
    <t xml:space="preserve">Doormat Red Retrospot</t>
  </si>
  <si>
    <t xml:space="preserve">85099C</t>
  </si>
  <si>
    <t xml:space="preserve">Jumbo  Bag Baroque Black White</t>
  </si>
  <si>
    <t xml:space="preserve">22726</t>
  </si>
  <si>
    <t xml:space="preserve">Alarm Clock Bakelike Green</t>
  </si>
  <si>
    <t xml:space="preserve">22411</t>
  </si>
  <si>
    <t xml:space="preserve">Jumbo Shopper Vintage Red Paisley</t>
  </si>
  <si>
    <t xml:space="preserve">21915</t>
  </si>
  <si>
    <t xml:space="preserve">Red  Harmonica In Box </t>
  </si>
  <si>
    <t xml:space="preserve">22666</t>
  </si>
  <si>
    <t xml:space="preserve">Recipe Box Pantry Yellow Design</t>
  </si>
  <si>
    <t xml:space="preserve">22629</t>
  </si>
  <si>
    <t xml:space="preserve">Spaceboy Lunch Box </t>
  </si>
  <si>
    <t xml:space="preserve">48138</t>
  </si>
  <si>
    <t xml:space="preserve">Doormat Union Flag</t>
  </si>
  <si>
    <t xml:space="preserve">22961</t>
  </si>
  <si>
    <t xml:space="preserve">Jam Making Set Printed</t>
  </si>
  <si>
    <t xml:space="preserve">84946</t>
  </si>
  <si>
    <t xml:space="preserve">Antique Silver Tea Glass Etched</t>
  </si>
  <si>
    <t xml:space="preserve">22326</t>
  </si>
  <si>
    <t xml:space="preserve">Round Snack Boxes Set Of4 Woodland </t>
  </si>
  <si>
    <t xml:space="preserve">48187</t>
  </si>
  <si>
    <t xml:space="preserve">Doormat New England</t>
  </si>
  <si>
    <t xml:space="preserve">21621</t>
  </si>
  <si>
    <t xml:space="preserve">Vintage Union Jack Bunting</t>
  </si>
  <si>
    <t xml:space="preserve">22111</t>
  </si>
  <si>
    <t xml:space="preserve">Scottie Dog Hot Water Bottle</t>
  </si>
  <si>
    <t xml:space="preserve">22138</t>
  </si>
  <si>
    <t xml:space="preserve">Baking Set 9 Piece Retrospot </t>
  </si>
  <si>
    <t xml:space="preserve">21731</t>
  </si>
  <si>
    <t xml:space="preserve">Red Toadstool Led Night Light</t>
  </si>
  <si>
    <t xml:space="preserve">22189</t>
  </si>
  <si>
    <t xml:space="preserve">Cream Heart Card Holder</t>
  </si>
  <si>
    <t xml:space="preserve">21733</t>
  </si>
  <si>
    <t xml:space="preserve">Red Hanging Heart T-Light Holder</t>
  </si>
  <si>
    <t xml:space="preserve">21623</t>
  </si>
  <si>
    <t xml:space="preserve">Vintage Union Jack Memoboard</t>
  </si>
  <si>
    <t xml:space="preserve">22139</t>
  </si>
  <si>
    <t xml:space="preserve">Retrospot Tea Set Ceramic 11 Pc </t>
  </si>
  <si>
    <t xml:space="preserve">22090</t>
  </si>
  <si>
    <t xml:space="preserve">Paper Bunting Retrospot</t>
  </si>
  <si>
    <t xml:space="preserve">22383</t>
  </si>
  <si>
    <t xml:space="preserve">Lunch Bag Suki  Design </t>
  </si>
  <si>
    <t xml:space="preserve">20727</t>
  </si>
  <si>
    <t xml:space="preserve">Lunch Bag  Black Skull.</t>
  </si>
  <si>
    <t xml:space="preserve">21929</t>
  </si>
  <si>
    <t xml:space="preserve">Jumbo Bag Pink Vintage Paisley</t>
  </si>
  <si>
    <t xml:space="preserve">22697</t>
  </si>
  <si>
    <t xml:space="preserve">Green Regency Teacup And Saucer</t>
  </si>
  <si>
    <t xml:space="preserve">48194</t>
  </si>
  <si>
    <t xml:space="preserve">Doormat Hearts</t>
  </si>
  <si>
    <t xml:space="preserve">84029E</t>
  </si>
  <si>
    <t xml:space="preserve">Red Woolly Hottie White Heart.</t>
  </si>
  <si>
    <t xml:space="preserve">85066</t>
  </si>
  <si>
    <t xml:space="preserve">Cream Sweetheart Mini Chest</t>
  </si>
  <si>
    <t xml:space="preserve">15056N</t>
  </si>
  <si>
    <t xml:space="preserve">Edwardian Parasol Natural</t>
  </si>
  <si>
    <t xml:space="preserve">20712</t>
  </si>
  <si>
    <t xml:space="preserve">Jumbo Bag Woodland Animals</t>
  </si>
  <si>
    <t xml:space="preserve">20728</t>
  </si>
  <si>
    <t xml:space="preserve">Lunch Bag Cars Blue</t>
  </si>
  <si>
    <t xml:space="preserve">82482</t>
  </si>
  <si>
    <t xml:space="preserve">Wooden Picture Frame White Finish</t>
  </si>
  <si>
    <t xml:space="preserve">21523</t>
  </si>
  <si>
    <t xml:space="preserve">Doormat Fancy Font Home Sweet Home</t>
  </si>
  <si>
    <t xml:space="preserve">20724</t>
  </si>
  <si>
    <t xml:space="preserve">Red Retrospot Charlotte Bag</t>
  </si>
  <si>
    <t xml:space="preserve">21212</t>
  </si>
  <si>
    <t xml:space="preserve">Pack Of 72 Retrospot Cake Cases</t>
  </si>
  <si>
    <t xml:space="preserve">22630</t>
  </si>
  <si>
    <t xml:space="preserve">Dolly Girl Lunch Box</t>
  </si>
  <si>
    <t xml:space="preserve">21166</t>
  </si>
  <si>
    <t xml:space="preserve">Cook With Wine Metal Sign </t>
  </si>
  <si>
    <t xml:space="preserve">22728</t>
  </si>
  <si>
    <t xml:space="preserve">Alarm Clock Bakelike Pink</t>
  </si>
  <si>
    <t xml:space="preserve">22659</t>
  </si>
  <si>
    <t xml:space="preserve">Lunch Box I Love London</t>
  </si>
  <si>
    <t xml:space="preserve">21175</t>
  </si>
  <si>
    <t xml:space="preserve">Gin + Tonic Diet Metal Sign</t>
  </si>
  <si>
    <t xml:space="preserve">21928</t>
  </si>
  <si>
    <t xml:space="preserve">Jumbo Bag Scandinavian Paisley</t>
  </si>
  <si>
    <t xml:space="preserve">84997D</t>
  </si>
  <si>
    <t xml:space="preserve">Pink 3 Piece Polkadot Cutlery Set</t>
  </si>
  <si>
    <t xml:space="preserve">22501</t>
  </si>
  <si>
    <t xml:space="preserve">Picnic Basket Wicker Large</t>
  </si>
  <si>
    <t xml:space="preserve">21843</t>
  </si>
  <si>
    <t xml:space="preserve">Red Retrospot Cake Stand</t>
  </si>
  <si>
    <t xml:space="preserve">22328</t>
  </si>
  <si>
    <t xml:space="preserve">Round Snack Boxes Set Of 4 Fruits </t>
  </si>
  <si>
    <t xml:space="preserve">22969</t>
  </si>
  <si>
    <t xml:space="preserve">Homemade Jam Scented Candles</t>
  </si>
  <si>
    <t xml:space="preserve">22467</t>
  </si>
  <si>
    <t xml:space="preserve">Gumball Coat Rack</t>
  </si>
  <si>
    <t xml:space="preserve">82494L</t>
  </si>
  <si>
    <t xml:space="preserve">Wooden Frame Antique White </t>
  </si>
  <si>
    <t xml:space="preserve">20726</t>
  </si>
  <si>
    <t xml:space="preserve">Lunch Bag Woodland</t>
  </si>
  <si>
    <t xml:space="preserve">20914</t>
  </si>
  <si>
    <t xml:space="preserve">Set/5 Red Retrospot Lid Glass Bowls</t>
  </si>
  <si>
    <t xml:space="preserve">22382</t>
  </si>
  <si>
    <t xml:space="preserve">Lunch Bag Spaceboy Design </t>
  </si>
  <si>
    <t xml:space="preserve">82486</t>
  </si>
  <si>
    <t xml:space="preserve">Wood S/3 Cabinet Ant White Finish</t>
  </si>
  <si>
    <t xml:space="preserve">22693</t>
  </si>
  <si>
    <t xml:space="preserve">Grow A Flytrap Or Sunflower In Tin</t>
  </si>
  <si>
    <t xml:space="preserve">21485</t>
  </si>
  <si>
    <t xml:space="preserve">Retrospot Heart Hot Water Bottle</t>
  </si>
  <si>
    <t xml:space="preserve">Total</t>
  </si>
  <si>
    <t xml:space="preserve">Cost reduction vs monthly ordering</t>
  </si>
  <si>
    <t xml:space="preserve">ABC classification (all SKUs)</t>
  </si>
  <si>
    <t xml:space="preserve">Class</t>
  </si>
  <si>
    <t xml:space="preserve">SKUs</t>
  </si>
  <si>
    <t xml:space="preserve">Revenue</t>
  </si>
  <si>
    <t xml:space="preserve">SKU share %</t>
  </si>
  <si>
    <t xml:space="preserve">Revenue share %</t>
  </si>
  <si>
    <t xml:space="preserve">B</t>
  </si>
  <si>
    <t xml:space="preserve">C</t>
  </si>
  <si>
    <t xml:space="preserve">Forecast error on the 8-week hold-out (WAPE, lower is better)</t>
  </si>
  <si>
    <t xml:space="preserve">Method</t>
  </si>
  <si>
    <t xml:space="preserve">WAPE %</t>
  </si>
  <si>
    <t xml:space="preserve">Naive</t>
  </si>
  <si>
    <t xml:space="preserve">Moving average (4 wk)</t>
  </si>
  <si>
    <t xml:space="preserve">Exp. smoothing</t>
  </si>
  <si>
    <t xml:space="preserve">Values on this sheet are written by src/analysis.py.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</si>
</sst>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F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25</v>
      </c>
      <c r="C3" s="2" t="s">
        <v>2</v>
      </c>
    </row>
    <row r="4" customFormat="false" ht="15" hidden="false" customHeight="false" outlineLevel="0" collapsed="false">
      <c r="A4" s="2" t="s">
        <v>3</v>
      </c>
      <c r="B4" s="4" t="n">
        <v>0.2</v>
      </c>
      <c r="C4" s="2" t="s">
        <v>2</v>
      </c>
    </row>
    <row r="5" customFormat="false" ht="15" hidden="false" customHeight="false" outlineLevel="0" collapsed="false">
      <c r="A5" s="2" t="s">
        <v>4</v>
      </c>
      <c r="B5" s="3" t="n">
        <v>2</v>
      </c>
      <c r="C5" s="2" t="s">
        <v>2</v>
      </c>
    </row>
    <row r="6" customFormat="false" ht="15" hidden="false" customHeight="false" outlineLevel="0" collapsed="false">
      <c r="A6" s="2" t="s">
        <v>5</v>
      </c>
      <c r="B6" s="3" t="n">
        <v>1.645</v>
      </c>
      <c r="C6" s="2" t="s">
        <v>6</v>
      </c>
    </row>
    <row r="7" customFormat="false" ht="15" hidden="false" customHeight="false" outlineLevel="0" collapsed="false">
      <c r="A7" s="2" t="s">
        <v>7</v>
      </c>
      <c r="B7" s="3" t="n">
        <v>52</v>
      </c>
      <c r="C7" s="2"/>
    </row>
    <row r="8" customFormat="false" ht="15" hidden="false" customHeight="false" outlineLevel="0" collapsed="false">
      <c r="A8" s="2" t="s">
        <v>8</v>
      </c>
      <c r="B8" s="3" t="n">
        <v>12</v>
      </c>
      <c r="C8" s="2" t="s">
        <v>9</v>
      </c>
    </row>
    <row r="11" customFormat="false" ht="15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45.75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6" t="n">
        <v>239.18</v>
      </c>
      <c r="E2" s="6" t="n">
        <v>133.45</v>
      </c>
      <c r="F2" s="7" t="n">
        <v>12.75</v>
      </c>
      <c r="G2" s="8" t="n">
        <f aca="false">D2*Assumptions!$B$7</f>
        <v>12437.36</v>
      </c>
      <c r="H2" s="9" t="n">
        <f aca="false">F2*Assumptions!$B$4</f>
        <v>2.55</v>
      </c>
      <c r="I2" s="8" t="n">
        <f aca="false">SQRT(2*G2*Assumptions!$B$3/H2)</f>
        <v>493.831756696113</v>
      </c>
      <c r="J2" s="8" t="n">
        <f aca="false">Assumptions!$B$6*E2*SQRT(Assumptions!$B$5)</f>
        <v>310.455585833344</v>
      </c>
      <c r="K2" s="8" t="n">
        <f aca="false">D2*Assumptions!$B$5+J2</f>
        <v>788.815585833344</v>
      </c>
      <c r="L2" s="8" t="n">
        <f aca="false">G2/I2</f>
        <v>25.1854195915018</v>
      </c>
      <c r="M2" s="8" t="n">
        <f aca="false">G2/I2*Assumptions!$B$3+I2/2*H2</f>
        <v>1259.27097957509</v>
      </c>
      <c r="N2" s="8" t="n">
        <f aca="false">Assumptions!$B$8*Assumptions!$B$3+(G2/Assumptions!$B$8)/2*H2</f>
        <v>1621.4695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27</v>
      </c>
      <c r="D3" s="6" t="n">
        <v>350.29</v>
      </c>
      <c r="E3" s="6" t="n">
        <v>197.18</v>
      </c>
      <c r="F3" s="7" t="n">
        <v>4.95</v>
      </c>
      <c r="G3" s="8" t="n">
        <f aca="false">D3*Assumptions!$B$7</f>
        <v>18215.08</v>
      </c>
      <c r="H3" s="9" t="n">
        <f aca="false">F3*Assumptions!$B$4</f>
        <v>0.99</v>
      </c>
      <c r="I3" s="8" t="n">
        <f aca="false">SQRT(2*G3*Assumptions!$B$3/H3)</f>
        <v>959.142082985381</v>
      </c>
      <c r="J3" s="8" t="n">
        <f aca="false">Assumptions!$B$6*E3*SQRT(Assumptions!$B$5)</f>
        <v>458.715866726256</v>
      </c>
      <c r="K3" s="8" t="n">
        <f aca="false">D3*Assumptions!$B$5+J3</f>
        <v>1159.29586672626</v>
      </c>
      <c r="L3" s="8" t="n">
        <f aca="false">G3/I3</f>
        <v>18.9910132431105</v>
      </c>
      <c r="M3" s="8" t="n">
        <f aca="false">G3/I3*Assumptions!$B$3+I3/2*H3</f>
        <v>949.550662155527</v>
      </c>
      <c r="N3" s="8" t="n">
        <f aca="false">Assumptions!$B$8*Assumptions!$B$3+(G3/Assumptions!$B$8)/2*H3</f>
        <v>1051.37205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27</v>
      </c>
      <c r="D4" s="6" t="n">
        <v>615.88</v>
      </c>
      <c r="E4" s="6" t="n">
        <v>302.57</v>
      </c>
      <c r="F4" s="7" t="n">
        <v>2.95</v>
      </c>
      <c r="G4" s="8" t="n">
        <f aca="false">D4*Assumptions!$B$7</f>
        <v>32025.76</v>
      </c>
      <c r="H4" s="9" t="n">
        <f aca="false">F4*Assumptions!$B$4</f>
        <v>0.59</v>
      </c>
      <c r="I4" s="8" t="n">
        <f aca="false">SQRT(2*G4*Assumptions!$B$3/H4)</f>
        <v>1647.43663235559</v>
      </c>
      <c r="J4" s="8" t="n">
        <f aca="false">Assumptions!$B$6*E4*SQRT(Assumptions!$B$5)</f>
        <v>703.893192998089</v>
      </c>
      <c r="K4" s="8" t="n">
        <f aca="false">D4*Assumptions!$B$5+J4</f>
        <v>1935.65319299809</v>
      </c>
      <c r="L4" s="8" t="n">
        <f aca="false">G4/I4</f>
        <v>19.4397522617959</v>
      </c>
      <c r="M4" s="8" t="n">
        <f aca="false">G4/I4*Assumptions!$B$3+I4/2*H4</f>
        <v>971.987613089797</v>
      </c>
      <c r="N4" s="8" t="n">
        <f aca="false">Assumptions!$B$8*Assumptions!$B$3+(G4/Assumptions!$B$8)/2*H4</f>
        <v>1087.29993333333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27</v>
      </c>
      <c r="D5" s="6" t="n">
        <v>869.78</v>
      </c>
      <c r="E5" s="6" t="n">
        <v>412.66</v>
      </c>
      <c r="F5" s="7" t="n">
        <v>2.08</v>
      </c>
      <c r="G5" s="8" t="n">
        <f aca="false">D5*Assumptions!$B$7</f>
        <v>45228.56</v>
      </c>
      <c r="H5" s="9" t="n">
        <f aca="false">F5*Assumptions!$B$4</f>
        <v>0.416</v>
      </c>
      <c r="I5" s="8" t="n">
        <f aca="false">SQRT(2*G5*Assumptions!$B$3/H5)</f>
        <v>2331.54991368403</v>
      </c>
      <c r="J5" s="8" t="n">
        <f aca="false">Assumptions!$B$6*E5*SQRT(Assumptions!$B$5)</f>
        <v>960.00451142741</v>
      </c>
      <c r="K5" s="8" t="n">
        <f aca="false">D5*Assumptions!$B$5+J5</f>
        <v>2699.56451142741</v>
      </c>
      <c r="L5" s="8" t="n">
        <f aca="false">G5/I5</f>
        <v>19.3984952818511</v>
      </c>
      <c r="M5" s="8" t="n">
        <f aca="false">G5/I5*Assumptions!$B$3+I5/2*H5</f>
        <v>969.924764092556</v>
      </c>
      <c r="N5" s="8" t="n">
        <f aca="false">Assumptions!$B$8*Assumptions!$B$3+(G5/Assumptions!$B$8)/2*H5</f>
        <v>1083.96170666667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27</v>
      </c>
      <c r="D6" s="6" t="n">
        <v>682.73</v>
      </c>
      <c r="E6" s="6" t="n">
        <v>591.36</v>
      </c>
      <c r="F6" s="7" t="n">
        <v>1.69</v>
      </c>
      <c r="G6" s="8" t="n">
        <f aca="false">D6*Assumptions!$B$7</f>
        <v>35501.96</v>
      </c>
      <c r="H6" s="9" t="n">
        <f aca="false">F6*Assumptions!$B$4</f>
        <v>0.338</v>
      </c>
      <c r="I6" s="8" t="n">
        <f aca="false">SQRT(2*G6*Assumptions!$B$3/H6)</f>
        <v>2291.6738927625</v>
      </c>
      <c r="J6" s="8" t="n">
        <f aca="false">Assumptions!$B$6*E6*SQRT(Assumptions!$B$5)</f>
        <v>1375.72885154295</v>
      </c>
      <c r="K6" s="8" t="n">
        <f aca="false">D6*Assumptions!$B$5+J6</f>
        <v>2741.18885154295</v>
      </c>
      <c r="L6" s="8" t="n">
        <f aca="false">G6/I6</f>
        <v>15.4917155150745</v>
      </c>
      <c r="M6" s="8" t="n">
        <f aca="false">G6/I6*Assumptions!$B$3+I6/2*H6</f>
        <v>774.585775753725</v>
      </c>
      <c r="N6" s="8" t="n">
        <f aca="false">Assumptions!$B$8*Assumptions!$B$3+(G6/Assumptions!$B$8)/2*H6</f>
        <v>799.985936666667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27</v>
      </c>
      <c r="D7" s="6" t="n">
        <v>182.88</v>
      </c>
      <c r="E7" s="6" t="n">
        <v>173.16</v>
      </c>
      <c r="F7" s="7" t="n">
        <v>5.75</v>
      </c>
      <c r="G7" s="8" t="n">
        <f aca="false">D7*Assumptions!$B$7</f>
        <v>9509.76</v>
      </c>
      <c r="H7" s="9" t="n">
        <f aca="false">F7*Assumptions!$B$4</f>
        <v>1.15</v>
      </c>
      <c r="I7" s="8" t="n">
        <f aca="false">SQRT(2*G7*Assumptions!$B$3/H7)</f>
        <v>643.014639092266</v>
      </c>
      <c r="J7" s="8" t="n">
        <f aca="false">Assumptions!$B$6*E7*SQRT(Assumptions!$B$5)</f>
        <v>402.836187657564</v>
      </c>
      <c r="K7" s="8" t="n">
        <f aca="false">D7*Assumptions!$B$5+J7</f>
        <v>768.596187657564</v>
      </c>
      <c r="L7" s="8" t="n">
        <f aca="false">G7/I7</f>
        <v>14.7893366991221</v>
      </c>
      <c r="M7" s="8" t="n">
        <f aca="false">G7/I7*Assumptions!$B$3+I7/2*H7</f>
        <v>739.466834956106</v>
      </c>
      <c r="N7" s="8" t="n">
        <f aca="false">Assumptions!$B$8*Assumptions!$B$3+(G7/Assumptions!$B$8)/2*H7</f>
        <v>755.676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27</v>
      </c>
      <c r="D8" s="6" t="n">
        <v>1014.41</v>
      </c>
      <c r="E8" s="6" t="n">
        <v>778.03</v>
      </c>
      <c r="F8" s="7" t="n">
        <v>0.85</v>
      </c>
      <c r="G8" s="8" t="n">
        <f aca="false">D8*Assumptions!$B$7</f>
        <v>52749.32</v>
      </c>
      <c r="H8" s="9" t="n">
        <f aca="false">F8*Assumptions!$B$4</f>
        <v>0.17</v>
      </c>
      <c r="I8" s="8" t="n">
        <f aca="false">SQRT(2*G8*Assumptions!$B$3/H8)</f>
        <v>3938.84575508523</v>
      </c>
      <c r="J8" s="8" t="n">
        <f aca="false">Assumptions!$B$6*E8*SQRT(Assumptions!$B$5)</f>
        <v>1809.99445070001</v>
      </c>
      <c r="K8" s="8" t="n">
        <f aca="false">D8*Assumptions!$B$5+J8</f>
        <v>3838.81445070001</v>
      </c>
      <c r="L8" s="8" t="n">
        <f aca="false">G8/I8</f>
        <v>13.3920755672898</v>
      </c>
      <c r="M8" s="8" t="n">
        <f aca="false">G8/I8*Assumptions!$B$3+I8/2*H8</f>
        <v>669.603778364489</v>
      </c>
      <c r="N8" s="8" t="n">
        <f aca="false">Assumptions!$B$8*Assumptions!$B$3+(G8/Assumptions!$B$8)/2*H8</f>
        <v>673.641016666667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27</v>
      </c>
      <c r="D9" s="6" t="n">
        <v>186.06</v>
      </c>
      <c r="E9" s="6" t="n">
        <v>218.49</v>
      </c>
      <c r="F9" s="7" t="n">
        <v>3.75</v>
      </c>
      <c r="G9" s="8" t="n">
        <f aca="false">D9*Assumptions!$B$7</f>
        <v>9675.12</v>
      </c>
      <c r="H9" s="9" t="n">
        <f aca="false">F9*Assumptions!$B$4</f>
        <v>0.75</v>
      </c>
      <c r="I9" s="8" t="n">
        <f aca="false">SQRT(2*G9*Assumptions!$B$3/H9)</f>
        <v>803.123900777458</v>
      </c>
      <c r="J9" s="8" t="n">
        <f aca="false">Assumptions!$B$6*E9*SQRT(Assumptions!$B$5)</f>
        <v>508.291052444567</v>
      </c>
      <c r="K9" s="8" t="n">
        <f aca="false">D9*Assumptions!$B$5+J9</f>
        <v>880.411052444567</v>
      </c>
      <c r="L9" s="8" t="n">
        <f aca="false">G9/I9</f>
        <v>12.0468585116619</v>
      </c>
      <c r="M9" s="8" t="n">
        <f aca="false">G9/I9*Assumptions!$B$3+I9/2*H9</f>
        <v>602.342925583094</v>
      </c>
      <c r="N9" s="8" t="n">
        <f aca="false">Assumptions!$B$8*Assumptions!$B$3+(G9/Assumptions!$B$8)/2*H9</f>
        <v>602.3475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27</v>
      </c>
      <c r="D10" s="6" t="n">
        <v>382.35</v>
      </c>
      <c r="E10" s="6" t="n">
        <v>241.51</v>
      </c>
      <c r="F10" s="7" t="n">
        <v>2.08</v>
      </c>
      <c r="G10" s="8" t="n">
        <f aca="false">D10*Assumptions!$B$7</f>
        <v>19882.2</v>
      </c>
      <c r="H10" s="9" t="n">
        <f aca="false">F10*Assumptions!$B$4</f>
        <v>0.416</v>
      </c>
      <c r="I10" s="8" t="n">
        <f aca="false">SQRT(2*G10*Assumptions!$B$3/H10)</f>
        <v>1545.861410347</v>
      </c>
      <c r="J10" s="8" t="n">
        <f aca="false">Assumptions!$B$6*E10*SQRT(Assumptions!$B$5)</f>
        <v>561.844350203155</v>
      </c>
      <c r="K10" s="8" t="n">
        <f aca="false">D10*Assumptions!$B$5+J10</f>
        <v>1326.54435020315</v>
      </c>
      <c r="L10" s="8" t="n">
        <f aca="false">G10/I10</f>
        <v>12.861566934087</v>
      </c>
      <c r="M10" s="8" t="n">
        <f aca="false">G10/I10*Assumptions!$B$3+I10/2*H10</f>
        <v>643.07834670435</v>
      </c>
      <c r="N10" s="8" t="n">
        <f aca="false">Assumptions!$B$8*Assumptions!$B$3+(G10/Assumptions!$B$8)/2*H10</f>
        <v>644.6248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27</v>
      </c>
      <c r="D11" s="6" t="n">
        <v>142.98</v>
      </c>
      <c r="E11" s="6" t="n">
        <v>168.72</v>
      </c>
      <c r="F11" s="7" t="n">
        <v>4.95</v>
      </c>
      <c r="G11" s="8" t="n">
        <f aca="false">D11*Assumptions!$B$7</f>
        <v>7434.96</v>
      </c>
      <c r="H11" s="9" t="n">
        <f aca="false">F11*Assumptions!$B$4</f>
        <v>0.99</v>
      </c>
      <c r="I11" s="8" t="n">
        <f aca="false">SQRT(2*G11*Assumptions!$B$3/H11)</f>
        <v>612.783020573376</v>
      </c>
      <c r="J11" s="8" t="n">
        <f aca="false">Assumptions!$B$6*E11*SQRT(Assumptions!$B$5)</f>
        <v>392.507054640703</v>
      </c>
      <c r="K11" s="8" t="n">
        <f aca="false">D11*Assumptions!$B$5+J11</f>
        <v>678.467054640703</v>
      </c>
      <c r="L11" s="8" t="n">
        <f aca="false">G11/I11</f>
        <v>12.1331038073528</v>
      </c>
      <c r="M11" s="8" t="n">
        <f aca="false">G11/I11*Assumptions!$B$3+I11/2*H11</f>
        <v>606.655190367642</v>
      </c>
      <c r="N11" s="8" t="n">
        <f aca="false">Assumptions!$B$8*Assumptions!$B$3+(G11/Assumptions!$B$8)/2*H11</f>
        <v>606.6921</v>
      </c>
    </row>
    <row r="12" customFormat="false" ht="15" hidden="false" customHeight="false" outlineLevel="0" collapsed="false">
      <c r="A12" s="2" t="s">
        <v>46</v>
      </c>
      <c r="B12" s="2" t="s">
        <v>47</v>
      </c>
      <c r="C12" s="2" t="s">
        <v>27</v>
      </c>
      <c r="D12" s="6" t="n">
        <v>161.02</v>
      </c>
      <c r="E12" s="6" t="n">
        <v>95.18</v>
      </c>
      <c r="F12" s="7" t="n">
        <v>4.25</v>
      </c>
      <c r="G12" s="8" t="n">
        <f aca="false">D12*Assumptions!$B$7</f>
        <v>8373.04</v>
      </c>
      <c r="H12" s="9" t="n">
        <f aca="false">F12*Assumptions!$B$4</f>
        <v>0.85</v>
      </c>
      <c r="I12" s="8" t="n">
        <f aca="false">SQRT(2*G12*Assumptions!$B$3/H12)</f>
        <v>701.806073431886</v>
      </c>
      <c r="J12" s="8" t="n">
        <f aca="false">Assumptions!$B$6*E12*SQRT(Assumptions!$B$5)</f>
        <v>221.424973095674</v>
      </c>
      <c r="K12" s="8" t="n">
        <f aca="false">D12*Assumptions!$B$5+J12</f>
        <v>543.464973095674</v>
      </c>
      <c r="L12" s="8" t="n">
        <f aca="false">G12/I12</f>
        <v>11.9307032483421</v>
      </c>
      <c r="M12" s="8" t="n">
        <f aca="false">G12/I12*Assumptions!$B$3+I12/2*H12</f>
        <v>596.535162417104</v>
      </c>
      <c r="N12" s="8" t="n">
        <f aca="false">Assumptions!$B$8*Assumptions!$B$3+(G12/Assumptions!$B$8)/2*H12</f>
        <v>596.545166666667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s">
        <v>27</v>
      </c>
      <c r="D13" s="6" t="n">
        <v>110.2</v>
      </c>
      <c r="E13" s="6" t="n">
        <v>206.92</v>
      </c>
      <c r="F13" s="7" t="n">
        <v>7.95</v>
      </c>
      <c r="G13" s="8" t="n">
        <f aca="false">D13*Assumptions!$B$7</f>
        <v>5730.4</v>
      </c>
      <c r="H13" s="9" t="n">
        <f aca="false">F13*Assumptions!$B$4</f>
        <v>1.59</v>
      </c>
      <c r="I13" s="8" t="n">
        <f aca="false">SQRT(2*G13*Assumptions!$B$3/H13)</f>
        <v>424.501187114518</v>
      </c>
      <c r="J13" s="8" t="n">
        <f aca="false">Assumptions!$B$6*E13*SQRT(Assumptions!$B$5)</f>
        <v>481.374820686666</v>
      </c>
      <c r="K13" s="8" t="n">
        <f aca="false">D13*Assumptions!$B$5+J13</f>
        <v>701.774820686666</v>
      </c>
      <c r="L13" s="8" t="n">
        <f aca="false">G13/I13</f>
        <v>13.4991377502417</v>
      </c>
      <c r="M13" s="8" t="n">
        <f aca="false">G13/I13*Assumptions!$B$3+I13/2*H13</f>
        <v>674.956887512084</v>
      </c>
      <c r="N13" s="8" t="n">
        <f aca="false">Assumptions!$B$8*Assumptions!$B$3+(G13/Assumptions!$B$8)/2*H13</f>
        <v>679.639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27</v>
      </c>
      <c r="D14" s="6" t="n">
        <v>357.2</v>
      </c>
      <c r="E14" s="6" t="n">
        <v>173.89</v>
      </c>
      <c r="F14" s="7" t="n">
        <v>1.65</v>
      </c>
      <c r="G14" s="8" t="n">
        <f aca="false">D14*Assumptions!$B$7</f>
        <v>18574.4</v>
      </c>
      <c r="H14" s="9" t="n">
        <f aca="false">F14*Assumptions!$B$4</f>
        <v>0.33</v>
      </c>
      <c r="I14" s="8" t="n">
        <f aca="false">SQRT(2*G14*Assumptions!$B$3/H14)</f>
        <v>1677.58845677449</v>
      </c>
      <c r="J14" s="8" t="n">
        <f aca="false">Assumptions!$B$6*E14*SQRT(Assumptions!$B$5)</f>
        <v>404.53444601394</v>
      </c>
      <c r="K14" s="8" t="n">
        <f aca="false">D14*Assumptions!$B$5+J14</f>
        <v>1118.93444601394</v>
      </c>
      <c r="L14" s="8" t="n">
        <f aca="false">G14/I14</f>
        <v>11.0720838147117</v>
      </c>
      <c r="M14" s="8" t="n">
        <f aca="false">G14/I14*Assumptions!$B$3+I14/2*H14</f>
        <v>553.604190735583</v>
      </c>
      <c r="N14" s="8" t="n">
        <f aca="false">Assumptions!$B$8*Assumptions!$B$3+(G14/Assumptions!$B$8)/2*H14</f>
        <v>555.398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27</v>
      </c>
      <c r="D15" s="6" t="n">
        <v>456.02</v>
      </c>
      <c r="E15" s="6" t="n">
        <v>273.7</v>
      </c>
      <c r="F15" s="7" t="n">
        <v>1.25</v>
      </c>
      <c r="G15" s="8" t="n">
        <f aca="false">D15*Assumptions!$B$7</f>
        <v>23713.04</v>
      </c>
      <c r="H15" s="9" t="n">
        <f aca="false">F15*Assumptions!$B$4</f>
        <v>0.25</v>
      </c>
      <c r="I15" s="8" t="n">
        <f aca="false">SQRT(2*G15*Assumptions!$B$3/H15)</f>
        <v>2177.75297038025</v>
      </c>
      <c r="J15" s="8" t="n">
        <f aca="false">Assumptions!$B$6*E15*SQRT(Assumptions!$B$5)</f>
        <v>636.730564575394</v>
      </c>
      <c r="K15" s="8" t="n">
        <f aca="false">D15*Assumptions!$B$5+J15</f>
        <v>1548.77056457539</v>
      </c>
      <c r="L15" s="8" t="n">
        <f aca="false">G15/I15</f>
        <v>10.8887648519012</v>
      </c>
      <c r="M15" s="8" t="n">
        <f aca="false">G15/I15*Assumptions!$B$3+I15/2*H15</f>
        <v>544.438242595062</v>
      </c>
      <c r="N15" s="8" t="n">
        <f aca="false">Assumptions!$B$8*Assumptions!$B$3+(G15/Assumptions!$B$8)/2*H15</f>
        <v>547.010833333333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27</v>
      </c>
      <c r="D16" s="6" t="n">
        <v>105.98</v>
      </c>
      <c r="E16" s="6" t="n">
        <v>53.87</v>
      </c>
      <c r="F16" s="7" t="n">
        <v>4.95</v>
      </c>
      <c r="G16" s="8" t="n">
        <f aca="false">D16*Assumptions!$B$7</f>
        <v>5510.96</v>
      </c>
      <c r="H16" s="9" t="n">
        <f aca="false">F16*Assumptions!$B$4</f>
        <v>0.99</v>
      </c>
      <c r="I16" s="8" t="n">
        <f aca="false">SQRT(2*G16*Assumptions!$B$3/H16)</f>
        <v>527.571145089753</v>
      </c>
      <c r="J16" s="8" t="n">
        <f aca="false">Assumptions!$B$6*E16*SQRT(Assumptions!$B$5)</f>
        <v>125.322161175289</v>
      </c>
      <c r="K16" s="8" t="n">
        <f aca="false">D16*Assumptions!$B$5+J16</f>
        <v>337.282161175289</v>
      </c>
      <c r="L16" s="8" t="n">
        <f aca="false">G16/I16</f>
        <v>10.4459086727771</v>
      </c>
      <c r="M16" s="8" t="n">
        <f aca="false">G16/I16*Assumptions!$B$3+I16/2*H16</f>
        <v>522.295433638856</v>
      </c>
      <c r="N16" s="8" t="n">
        <f aca="false">Assumptions!$B$8*Assumptions!$B$3+(G16/Assumptions!$B$8)/2*H16</f>
        <v>527.3271</v>
      </c>
    </row>
    <row r="17" customFormat="false" ht="15" hidden="false" customHeight="false" outlineLevel="0" collapsed="false">
      <c r="A17" s="2" t="s">
        <v>56</v>
      </c>
      <c r="B17" s="2" t="s">
        <v>57</v>
      </c>
      <c r="C17" s="2" t="s">
        <v>27</v>
      </c>
      <c r="D17" s="6" t="n">
        <v>344.1</v>
      </c>
      <c r="E17" s="6" t="n">
        <v>353.57</v>
      </c>
      <c r="F17" s="7" t="n">
        <v>1.65</v>
      </c>
      <c r="G17" s="8" t="n">
        <f aca="false">D17*Assumptions!$B$7</f>
        <v>17893.2</v>
      </c>
      <c r="H17" s="9" t="n">
        <f aca="false">F17*Assumptions!$B$4</f>
        <v>0.33</v>
      </c>
      <c r="I17" s="8" t="n">
        <f aca="false">SQRT(2*G17*Assumptions!$B$3/H17)</f>
        <v>1646.53907001653</v>
      </c>
      <c r="J17" s="8" t="n">
        <f aca="false">Assumptions!$B$6*E17*SQRT(Assumptions!$B$5)</f>
        <v>822.53863981338</v>
      </c>
      <c r="K17" s="8" t="n">
        <f aca="false">D17*Assumptions!$B$5+J17</f>
        <v>1510.73863981338</v>
      </c>
      <c r="L17" s="8" t="n">
        <f aca="false">G17/I17</f>
        <v>10.8671578621091</v>
      </c>
      <c r="M17" s="8" t="n">
        <f aca="false">G17/I17*Assumptions!$B$3+I17/2*H17</f>
        <v>543.357893105456</v>
      </c>
      <c r="N17" s="8" t="n">
        <f aca="false">Assumptions!$B$8*Assumptions!$B$3+(G17/Assumptions!$B$8)/2*H17</f>
        <v>546.0315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2" t="s">
        <v>27</v>
      </c>
      <c r="D18" s="6" t="n">
        <v>129.39</v>
      </c>
      <c r="E18" s="6" t="n">
        <v>115.27</v>
      </c>
      <c r="F18" s="7" t="n">
        <v>3.75</v>
      </c>
      <c r="G18" s="8" t="n">
        <f aca="false">D18*Assumptions!$B$7</f>
        <v>6728.28</v>
      </c>
      <c r="H18" s="9" t="n">
        <f aca="false">F18*Assumptions!$B$4</f>
        <v>0.75</v>
      </c>
      <c r="I18" s="8" t="n">
        <f aca="false">SQRT(2*G18*Assumptions!$B$3/H18)</f>
        <v>669.740248155955</v>
      </c>
      <c r="J18" s="8" t="n">
        <f aca="false">Assumptions!$B$6*E18*SQRT(Assumptions!$B$5)</f>
        <v>268.161973615658</v>
      </c>
      <c r="K18" s="8" t="n">
        <f aca="false">D18*Assumptions!$B$5+J18</f>
        <v>526.941973615658</v>
      </c>
      <c r="L18" s="8" t="n">
        <f aca="false">G18/I18</f>
        <v>10.0461037223393</v>
      </c>
      <c r="M18" s="8" t="n">
        <f aca="false">G18/I18*Assumptions!$B$3+I18/2*H18</f>
        <v>502.305186116966</v>
      </c>
      <c r="N18" s="8" t="n">
        <f aca="false">Assumptions!$B$8*Assumptions!$B$3+(G18/Assumptions!$B$8)/2*H18</f>
        <v>510.25875</v>
      </c>
    </row>
    <row r="19" customFormat="false" ht="15" hidden="false" customHeight="false" outlineLevel="0" collapsed="false">
      <c r="A19" s="2" t="s">
        <v>60</v>
      </c>
      <c r="B19" s="2" t="s">
        <v>61</v>
      </c>
      <c r="C19" s="2" t="s">
        <v>27</v>
      </c>
      <c r="D19" s="6" t="n">
        <v>306.76</v>
      </c>
      <c r="E19" s="6" t="n">
        <v>248.37</v>
      </c>
      <c r="F19" s="7" t="n">
        <v>2.08</v>
      </c>
      <c r="G19" s="8" t="n">
        <f aca="false">D19*Assumptions!$B$7</f>
        <v>15951.52</v>
      </c>
      <c r="H19" s="9" t="n">
        <f aca="false">F19*Assumptions!$B$4</f>
        <v>0.416</v>
      </c>
      <c r="I19" s="8" t="n">
        <f aca="false">SQRT(2*G19*Assumptions!$B$3/H19)</f>
        <v>1384.64796970205</v>
      </c>
      <c r="J19" s="8" t="n">
        <f aca="false">Assumptions!$B$6*E19*SQRT(Assumptions!$B$5)</f>
        <v>577.803325990466</v>
      </c>
      <c r="K19" s="8" t="n">
        <f aca="false">D19*Assumptions!$B$5+J19</f>
        <v>1191.32332599047</v>
      </c>
      <c r="L19" s="8" t="n">
        <f aca="false">G19/I19</f>
        <v>11.520271107921</v>
      </c>
      <c r="M19" s="8" t="n">
        <f aca="false">G19/I19*Assumptions!$B$3+I19/2*H19</f>
        <v>576.013555396052</v>
      </c>
      <c r="N19" s="8" t="n">
        <f aca="false">Assumptions!$B$8*Assumptions!$B$3+(G19/Assumptions!$B$8)/2*H19</f>
        <v>576.493013333333</v>
      </c>
    </row>
    <row r="20" customFormat="false" ht="15" hidden="false" customHeight="false" outlineLevel="0" collapsed="false">
      <c r="A20" s="2" t="s">
        <v>62</v>
      </c>
      <c r="B20" s="2" t="s">
        <v>63</v>
      </c>
      <c r="C20" s="2" t="s">
        <v>27</v>
      </c>
      <c r="D20" s="6" t="n">
        <v>329.08</v>
      </c>
      <c r="E20" s="6" t="n">
        <v>154.9</v>
      </c>
      <c r="F20" s="7" t="n">
        <v>0.85</v>
      </c>
      <c r="G20" s="8" t="n">
        <f aca="false">D20*Assumptions!$B$7</f>
        <v>17112.16</v>
      </c>
      <c r="H20" s="9" t="n">
        <f aca="false">F20*Assumptions!$B$4</f>
        <v>0.17</v>
      </c>
      <c r="I20" s="8" t="n">
        <f aca="false">SQRT(2*G20*Assumptions!$B$3/H20)</f>
        <v>2243.43224441794</v>
      </c>
      <c r="J20" s="8" t="n">
        <f aca="false">Assumptions!$B$6*E20*SQRT(Assumptions!$B$5)</f>
        <v>360.35646493507</v>
      </c>
      <c r="K20" s="8" t="n">
        <f aca="false">D20*Assumptions!$B$5+J20</f>
        <v>1018.51646493507</v>
      </c>
      <c r="L20" s="8" t="n">
        <f aca="false">G20/I20</f>
        <v>7.627669631021</v>
      </c>
      <c r="M20" s="8" t="n">
        <f aca="false">G20/I20*Assumptions!$B$3+I20/2*H20</f>
        <v>381.38348155105</v>
      </c>
      <c r="N20" s="8" t="n">
        <f aca="false">Assumptions!$B$8*Assumptions!$B$3+(G20/Assumptions!$B$8)/2*H20</f>
        <v>421.211133333333</v>
      </c>
    </row>
    <row r="21" customFormat="false" ht="15" hidden="false" customHeight="false" outlineLevel="0" collapsed="false">
      <c r="A21" s="2" t="s">
        <v>64</v>
      </c>
      <c r="B21" s="2" t="s">
        <v>65</v>
      </c>
      <c r="C21" s="2" t="s">
        <v>27</v>
      </c>
      <c r="D21" s="6" t="n">
        <v>161.8</v>
      </c>
      <c r="E21" s="6" t="n">
        <v>76.95</v>
      </c>
      <c r="F21" s="7" t="n">
        <v>2.95</v>
      </c>
      <c r="G21" s="8" t="n">
        <f aca="false">D21*Assumptions!$B$7</f>
        <v>8413.6</v>
      </c>
      <c r="H21" s="9" t="n">
        <f aca="false">F21*Assumptions!$B$4</f>
        <v>0.59</v>
      </c>
      <c r="I21" s="8" t="n">
        <f aca="false">SQRT(2*G21*Assumptions!$B$3/H21)</f>
        <v>844.403309534338</v>
      </c>
      <c r="J21" s="8" t="n">
        <f aca="false">Assumptions!$B$6*E21*SQRT(Assumptions!$B$5)</f>
        <v>179.015041812483</v>
      </c>
      <c r="K21" s="8" t="n">
        <f aca="false">D21*Assumptions!$B$5+J21</f>
        <v>502.615041812483</v>
      </c>
      <c r="L21" s="8" t="n">
        <f aca="false">G21/I21</f>
        <v>9.96395905250519</v>
      </c>
      <c r="M21" s="8" t="n">
        <f aca="false">G21/I21*Assumptions!$B$3+I21/2*H21</f>
        <v>498.197952625259</v>
      </c>
      <c r="N21" s="8" t="n">
        <f aca="false">Assumptions!$B$8*Assumptions!$B$3+(G21/Assumptions!$B$8)/2*H21</f>
        <v>506.834333333333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27</v>
      </c>
      <c r="D22" s="6" t="n">
        <v>178.55</v>
      </c>
      <c r="E22" s="6" t="n">
        <v>141.31</v>
      </c>
      <c r="F22" s="7" t="n">
        <v>2.95</v>
      </c>
      <c r="G22" s="8" t="n">
        <f aca="false">D22*Assumptions!$B$7</f>
        <v>9284.6</v>
      </c>
      <c r="H22" s="9" t="n">
        <f aca="false">F22*Assumptions!$B$4</f>
        <v>0.59</v>
      </c>
      <c r="I22" s="8" t="n">
        <f aca="false">SQRT(2*G22*Assumptions!$B$3/H22)</f>
        <v>887.034671517735</v>
      </c>
      <c r="J22" s="8" t="n">
        <f aca="false">Assumptions!$B$6*E22*SQRT(Assumptions!$B$5)</f>
        <v>328.74094293076</v>
      </c>
      <c r="K22" s="8" t="n">
        <f aca="false">D22*Assumptions!$B$5+J22</f>
        <v>685.84094293076</v>
      </c>
      <c r="L22" s="8" t="n">
        <f aca="false">G22/I22</f>
        <v>10.4670091239093</v>
      </c>
      <c r="M22" s="8" t="n">
        <f aca="false">G22/I22*Assumptions!$B$3+I22/2*H22</f>
        <v>523.350456195464</v>
      </c>
      <c r="N22" s="8" t="n">
        <f aca="false">Assumptions!$B$8*Assumptions!$B$3+(G22/Assumptions!$B$8)/2*H22</f>
        <v>528.246416666667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27</v>
      </c>
      <c r="D23" s="6" t="n">
        <v>224.37</v>
      </c>
      <c r="E23" s="6" t="n">
        <v>107.78</v>
      </c>
      <c r="F23" s="7" t="n">
        <v>2.08</v>
      </c>
      <c r="G23" s="8" t="n">
        <f aca="false">D23*Assumptions!$B$7</f>
        <v>11667.24</v>
      </c>
      <c r="H23" s="9" t="n">
        <f aca="false">F23*Assumptions!$B$4</f>
        <v>0.416</v>
      </c>
      <c r="I23" s="8" t="n">
        <f aca="false">SQRT(2*G23*Assumptions!$B$3/H23)</f>
        <v>1184.19276302467</v>
      </c>
      <c r="J23" s="8" t="n">
        <f aca="false">Assumptions!$B$6*E23*SQRT(Assumptions!$B$5)</f>
        <v>250.737377602981</v>
      </c>
      <c r="K23" s="8" t="n">
        <f aca="false">D23*Assumptions!$B$5+J23</f>
        <v>699.477377602981</v>
      </c>
      <c r="L23" s="8" t="n">
        <f aca="false">G23/I23</f>
        <v>9.85248378836525</v>
      </c>
      <c r="M23" s="8" t="n">
        <f aca="false">G23/I23*Assumptions!$B$3+I23/2*H23</f>
        <v>492.624189418262</v>
      </c>
      <c r="N23" s="8" t="n">
        <f aca="false">Assumptions!$B$8*Assumptions!$B$3+(G23/Assumptions!$B$8)/2*H23</f>
        <v>502.23216</v>
      </c>
    </row>
    <row r="24" customFormat="false" ht="15" hidden="false" customHeight="false" outlineLevel="0" collapsed="false">
      <c r="A24" s="2" t="s">
        <v>70</v>
      </c>
      <c r="B24" s="2" t="s">
        <v>71</v>
      </c>
      <c r="C24" s="2" t="s">
        <v>27</v>
      </c>
      <c r="D24" s="6" t="n">
        <v>75.18</v>
      </c>
      <c r="E24" s="6" t="n">
        <v>110.9</v>
      </c>
      <c r="F24" s="7" t="n">
        <v>7.95</v>
      </c>
      <c r="G24" s="8" t="n">
        <f aca="false">D24*Assumptions!$B$7</f>
        <v>3909.36</v>
      </c>
      <c r="H24" s="9" t="n">
        <f aca="false">F24*Assumptions!$B$4</f>
        <v>1.59</v>
      </c>
      <c r="I24" s="8" t="n">
        <f aca="false">SQRT(2*G24*Assumptions!$B$3/H24)</f>
        <v>350.622088660432</v>
      </c>
      <c r="J24" s="8" t="n">
        <f aca="false">Assumptions!$B$6*E24*SQRT(Assumptions!$B$5)</f>
        <v>257.995687290505</v>
      </c>
      <c r="K24" s="8" t="n">
        <f aca="false">D24*Assumptions!$B$5+J24</f>
        <v>408.355687290505</v>
      </c>
      <c r="L24" s="8" t="n">
        <f aca="false">G24/I24</f>
        <v>11.1497824194017</v>
      </c>
      <c r="M24" s="8" t="n">
        <f aca="false">G24/I24*Assumptions!$B$3+I24/2*H24</f>
        <v>557.489120970087</v>
      </c>
      <c r="N24" s="8" t="n">
        <f aca="false">Assumptions!$B$8*Assumptions!$B$3+(G24/Assumptions!$B$8)/2*H24</f>
        <v>558.9951</v>
      </c>
    </row>
    <row r="25" customFormat="false" ht="15" hidden="false" customHeight="false" outlineLevel="0" collapsed="false">
      <c r="A25" s="2" t="s">
        <v>72</v>
      </c>
      <c r="B25" s="2" t="s">
        <v>73</v>
      </c>
      <c r="C25" s="2" t="s">
        <v>27</v>
      </c>
      <c r="D25" s="6" t="n">
        <v>257.29</v>
      </c>
      <c r="E25" s="6" t="n">
        <v>165.27</v>
      </c>
      <c r="F25" s="7" t="n">
        <v>2.08</v>
      </c>
      <c r="G25" s="8" t="n">
        <f aca="false">D25*Assumptions!$B$7</f>
        <v>13379.08</v>
      </c>
      <c r="H25" s="9" t="n">
        <f aca="false">F25*Assumptions!$B$4</f>
        <v>0.416</v>
      </c>
      <c r="I25" s="8" t="n">
        <f aca="false">SQRT(2*G25*Assumptions!$B$3/H25)</f>
        <v>1268.09404225396</v>
      </c>
      <c r="J25" s="8" t="n">
        <f aca="false">Assumptions!$B$6*E25*SQRT(Assumptions!$B$5)</f>
        <v>384.481039120845</v>
      </c>
      <c r="K25" s="8" t="n">
        <f aca="false">D25*Assumptions!$B$5+J25</f>
        <v>899.061039120845</v>
      </c>
      <c r="L25" s="8" t="n">
        <f aca="false">G25/I25</f>
        <v>10.550542431553</v>
      </c>
      <c r="M25" s="8" t="n">
        <f aca="false">G25/I25*Assumptions!$B$3+I25/2*H25</f>
        <v>527.527121577649</v>
      </c>
      <c r="N25" s="8" t="n">
        <f aca="false">Assumptions!$B$8*Assumptions!$B$3+(G25/Assumptions!$B$8)/2*H25</f>
        <v>531.904053333333</v>
      </c>
    </row>
    <row r="26" customFormat="false" ht="15" hidden="false" customHeight="false" outlineLevel="0" collapsed="false">
      <c r="A26" s="2" t="s">
        <v>74</v>
      </c>
      <c r="B26" s="2" t="s">
        <v>75</v>
      </c>
      <c r="C26" s="2" t="s">
        <v>27</v>
      </c>
      <c r="D26" s="6" t="n">
        <v>117.43</v>
      </c>
      <c r="E26" s="6" t="n">
        <v>92.39</v>
      </c>
      <c r="F26" s="7" t="n">
        <v>3.75</v>
      </c>
      <c r="G26" s="8" t="n">
        <f aca="false">D26*Assumptions!$B$7</f>
        <v>6106.36</v>
      </c>
      <c r="H26" s="9" t="n">
        <f aca="false">F26*Assumptions!$B$4</f>
        <v>0.75</v>
      </c>
      <c r="I26" s="8" t="n">
        <f aca="false">SQRT(2*G26*Assumptions!$B$3/H26)</f>
        <v>638.036571574598</v>
      </c>
      <c r="J26" s="8" t="n">
        <f aca="false">Assumptions!$B$6*E26*SQRT(Assumptions!$B$5)</f>
        <v>214.934369240485</v>
      </c>
      <c r="K26" s="8" t="n">
        <f aca="false">D26*Assumptions!$B$5+J26</f>
        <v>449.794369240485</v>
      </c>
      <c r="L26" s="8" t="n">
        <f aca="false">G26/I26</f>
        <v>9.57054857361896</v>
      </c>
      <c r="M26" s="8" t="n">
        <f aca="false">G26/I26*Assumptions!$B$3+I26/2*H26</f>
        <v>478.527428680948</v>
      </c>
      <c r="N26" s="8" t="n">
        <f aca="false">Assumptions!$B$8*Assumptions!$B$3+(G26/Assumptions!$B$8)/2*H26</f>
        <v>490.82375</v>
      </c>
    </row>
    <row r="27" customFormat="false" ht="15" hidden="false" customHeight="false" outlineLevel="0" collapsed="false">
      <c r="A27" s="2" t="s">
        <v>76</v>
      </c>
      <c r="B27" s="2" t="s">
        <v>77</v>
      </c>
      <c r="C27" s="2" t="s">
        <v>27</v>
      </c>
      <c r="D27" s="6" t="n">
        <v>217.2</v>
      </c>
      <c r="E27" s="6" t="n">
        <v>114.81</v>
      </c>
      <c r="F27" s="7" t="n">
        <v>2.08</v>
      </c>
      <c r="G27" s="8" t="n">
        <f aca="false">D27*Assumptions!$B$7</f>
        <v>11294.4</v>
      </c>
      <c r="H27" s="9" t="n">
        <f aca="false">F27*Assumptions!$B$4</f>
        <v>0.416</v>
      </c>
      <c r="I27" s="8" t="n">
        <f aca="false">SQRT(2*G27*Assumptions!$B$3/H27)</f>
        <v>1165.1180197731</v>
      </c>
      <c r="J27" s="8" t="n">
        <f aca="false">Assumptions!$B$6*E27*SQRT(Assumptions!$B$5)</f>
        <v>267.091838213011</v>
      </c>
      <c r="K27" s="8" t="n">
        <f aca="false">D27*Assumptions!$B$5+J27</f>
        <v>701.491838213011</v>
      </c>
      <c r="L27" s="8" t="n">
        <f aca="false">G27/I27</f>
        <v>9.69378192451223</v>
      </c>
      <c r="M27" s="8" t="n">
        <f aca="false">G27/I27*Assumptions!$B$3+I27/2*H27</f>
        <v>484.689096225611</v>
      </c>
      <c r="N27" s="8" t="n">
        <f aca="false">Assumptions!$B$8*Assumptions!$B$3+(G27/Assumptions!$B$8)/2*H27</f>
        <v>495.7696</v>
      </c>
    </row>
    <row r="28" customFormat="false" ht="15" hidden="false" customHeight="false" outlineLevel="0" collapsed="false">
      <c r="A28" s="2" t="s">
        <v>78</v>
      </c>
      <c r="B28" s="2" t="s">
        <v>79</v>
      </c>
      <c r="C28" s="2" t="s">
        <v>27</v>
      </c>
      <c r="D28" s="6" t="n">
        <v>394.41</v>
      </c>
      <c r="E28" s="6" t="n">
        <v>349.35</v>
      </c>
      <c r="F28" s="7" t="n">
        <v>1.25</v>
      </c>
      <c r="G28" s="8" t="n">
        <f aca="false">D28*Assumptions!$B$7</f>
        <v>20509.32</v>
      </c>
      <c r="H28" s="9" t="n">
        <f aca="false">F28*Assumptions!$B$4</f>
        <v>0.25</v>
      </c>
      <c r="I28" s="8" t="n">
        <f aca="false">SQRT(2*G28*Assumptions!$B$3/H28)</f>
        <v>2025.30590282061</v>
      </c>
      <c r="J28" s="8" t="n">
        <f aca="false">Assumptions!$B$6*E28*SQRT(Assumptions!$B$5)</f>
        <v>812.721310684742</v>
      </c>
      <c r="K28" s="8" t="n">
        <f aca="false">D28*Assumptions!$B$5+J28</f>
        <v>1601.54131068474</v>
      </c>
      <c r="L28" s="8" t="n">
        <f aca="false">G28/I28</f>
        <v>10.126529514103</v>
      </c>
      <c r="M28" s="8" t="n">
        <f aca="false">G28/I28*Assumptions!$B$3+I28/2*H28</f>
        <v>506.326475705152</v>
      </c>
      <c r="N28" s="8" t="n">
        <f aca="false">Assumptions!$B$8*Assumptions!$B$3+(G28/Assumptions!$B$8)/2*H28</f>
        <v>513.63875</v>
      </c>
    </row>
    <row r="29" customFormat="false" ht="15" hidden="false" customHeight="false" outlineLevel="0" collapsed="false">
      <c r="A29" s="2" t="s">
        <v>80</v>
      </c>
      <c r="B29" s="2" t="s">
        <v>81</v>
      </c>
      <c r="C29" s="2" t="s">
        <v>27</v>
      </c>
      <c r="D29" s="6" t="n">
        <v>149.22</v>
      </c>
      <c r="E29" s="6" t="n">
        <v>130.99</v>
      </c>
      <c r="F29" s="7" t="n">
        <v>2.95</v>
      </c>
      <c r="G29" s="8" t="n">
        <f aca="false">D29*Assumptions!$B$7</f>
        <v>7759.44</v>
      </c>
      <c r="H29" s="9" t="n">
        <f aca="false">F29*Assumptions!$B$4</f>
        <v>0.59</v>
      </c>
      <c r="I29" s="8" t="n">
        <f aca="false">SQRT(2*G29*Assumptions!$B$3/H29)</f>
        <v>810.912856610961</v>
      </c>
      <c r="J29" s="8" t="n">
        <f aca="false">Assumptions!$B$6*E29*SQRT(Assumptions!$B$5)</f>
        <v>304.732687810489</v>
      </c>
      <c r="K29" s="8" t="n">
        <f aca="false">D29*Assumptions!$B$5+J29</f>
        <v>603.172687810489</v>
      </c>
      <c r="L29" s="8" t="n">
        <f aca="false">G29/I29</f>
        <v>9.56877170800934</v>
      </c>
      <c r="M29" s="8" t="n">
        <f aca="false">G29/I29*Assumptions!$B$3+I29/2*H29</f>
        <v>478.438585400467</v>
      </c>
      <c r="N29" s="8" t="n">
        <f aca="false">Assumptions!$B$8*Assumptions!$B$3+(G29/Assumptions!$B$8)/2*H29</f>
        <v>490.7529</v>
      </c>
    </row>
    <row r="30" customFormat="false" ht="15" hidden="false" customHeight="false" outlineLevel="0" collapsed="false">
      <c r="A30" s="2" t="s">
        <v>82</v>
      </c>
      <c r="B30" s="2" t="s">
        <v>83</v>
      </c>
      <c r="C30" s="2" t="s">
        <v>27</v>
      </c>
      <c r="D30" s="6" t="n">
        <v>268.51</v>
      </c>
      <c r="E30" s="6" t="n">
        <v>189.68</v>
      </c>
      <c r="F30" s="7" t="n">
        <v>1.95</v>
      </c>
      <c r="G30" s="8" t="n">
        <f aca="false">D30*Assumptions!$B$7</f>
        <v>13962.52</v>
      </c>
      <c r="H30" s="9" t="n">
        <f aca="false">F30*Assumptions!$B$4</f>
        <v>0.39</v>
      </c>
      <c r="I30" s="8" t="n">
        <f aca="false">SQRT(2*G30*Assumptions!$B$3/H30)</f>
        <v>1337.93373029708</v>
      </c>
      <c r="J30" s="8" t="n">
        <f aca="false">Assumptions!$B$6*E30*SQRT(Assumptions!$B$5)</f>
        <v>441.268006900478</v>
      </c>
      <c r="K30" s="8" t="n">
        <f aca="false">D30*Assumptions!$B$5+J30</f>
        <v>978.288006900478</v>
      </c>
      <c r="L30" s="8" t="n">
        <f aca="false">G30/I30</f>
        <v>10.4358830963172</v>
      </c>
      <c r="M30" s="8" t="n">
        <f aca="false">G30/I30*Assumptions!$B$3+I30/2*H30</f>
        <v>521.794154815862</v>
      </c>
      <c r="N30" s="8" t="n">
        <f aca="false">Assumptions!$B$8*Assumptions!$B$3+(G30/Assumptions!$B$8)/2*H30</f>
        <v>526.89095</v>
      </c>
    </row>
    <row r="31" customFormat="false" ht="15" hidden="false" customHeight="false" outlineLevel="0" collapsed="false">
      <c r="A31" s="2" t="s">
        <v>84</v>
      </c>
      <c r="B31" s="2" t="s">
        <v>85</v>
      </c>
      <c r="C31" s="2" t="s">
        <v>27</v>
      </c>
      <c r="D31" s="6" t="n">
        <v>71.73</v>
      </c>
      <c r="E31" s="6" t="n">
        <v>114.33</v>
      </c>
      <c r="F31" s="7" t="n">
        <v>7.95</v>
      </c>
      <c r="G31" s="8" t="n">
        <f aca="false">D31*Assumptions!$B$7</f>
        <v>3729.96</v>
      </c>
      <c r="H31" s="9" t="n">
        <f aca="false">F31*Assumptions!$B$4</f>
        <v>1.59</v>
      </c>
      <c r="I31" s="8" t="n">
        <f aca="false">SQRT(2*G31*Assumptions!$B$3/H31)</f>
        <v>342.482612146429</v>
      </c>
      <c r="J31" s="8" t="n">
        <f aca="false">Assumptions!$B$6*E31*SQRT(Assumptions!$B$5)</f>
        <v>265.975175184161</v>
      </c>
      <c r="K31" s="8" t="n">
        <f aca="false">D31*Assumptions!$B$5+J31</f>
        <v>409.435175184161</v>
      </c>
      <c r="L31" s="8" t="n">
        <f aca="false">G31/I31</f>
        <v>10.8909470662565</v>
      </c>
      <c r="M31" s="8" t="n">
        <f aca="false">G31/I31*Assumptions!$B$3+I31/2*H31</f>
        <v>544.547353312823</v>
      </c>
      <c r="N31" s="8" t="n">
        <f aca="false">Assumptions!$B$8*Assumptions!$B$3+(G31/Assumptions!$B$8)/2*H31</f>
        <v>547.10985</v>
      </c>
    </row>
    <row r="32" customFormat="false" ht="15" hidden="false" customHeight="false" outlineLevel="0" collapsed="false">
      <c r="A32" s="2" t="s">
        <v>86</v>
      </c>
      <c r="B32" s="2" t="s">
        <v>87</v>
      </c>
      <c r="C32" s="2" t="s">
        <v>27</v>
      </c>
      <c r="D32" s="6" t="n">
        <v>286.9</v>
      </c>
      <c r="E32" s="6" t="n">
        <v>172.85</v>
      </c>
      <c r="F32" s="7" t="n">
        <v>1.45</v>
      </c>
      <c r="G32" s="8" t="n">
        <f aca="false">D32*Assumptions!$B$7</f>
        <v>14918.8</v>
      </c>
      <c r="H32" s="9" t="n">
        <f aca="false">F32*Assumptions!$B$4</f>
        <v>0.29</v>
      </c>
      <c r="I32" s="8" t="n">
        <f aca="false">SQRT(2*G32*Assumptions!$B$3/H32)</f>
        <v>1603.81011860872</v>
      </c>
      <c r="J32" s="8" t="n">
        <f aca="false">Assumptions!$B$6*E32*SQRT(Assumptions!$B$5)</f>
        <v>402.115009451432</v>
      </c>
      <c r="K32" s="8" t="n">
        <f aca="false">D32*Assumptions!$B$5+J32</f>
        <v>975.915009451432</v>
      </c>
      <c r="L32" s="8" t="n">
        <f aca="false">G32/I32</f>
        <v>9.30209868793059</v>
      </c>
      <c r="M32" s="8" t="n">
        <f aca="false">G32/I32*Assumptions!$B$3+I32/2*H32</f>
        <v>465.10493439653</v>
      </c>
      <c r="N32" s="8" t="n">
        <f aca="false">Assumptions!$B$8*Assumptions!$B$3+(G32/Assumptions!$B$8)/2*H32</f>
        <v>480.268833333333</v>
      </c>
    </row>
    <row r="33" customFormat="false" ht="15" hidden="false" customHeight="false" outlineLevel="0" collapsed="false">
      <c r="A33" s="2" t="s">
        <v>88</v>
      </c>
      <c r="B33" s="2" t="s">
        <v>89</v>
      </c>
      <c r="C33" s="2" t="s">
        <v>27</v>
      </c>
      <c r="D33" s="6" t="n">
        <v>342.22</v>
      </c>
      <c r="E33" s="6" t="n">
        <v>191.75</v>
      </c>
      <c r="F33" s="7" t="n">
        <v>1.25</v>
      </c>
      <c r="G33" s="8" t="n">
        <f aca="false">D33*Assumptions!$B$7</f>
        <v>17795.44</v>
      </c>
      <c r="H33" s="9" t="n">
        <f aca="false">F33*Assumptions!$B$4</f>
        <v>0.25</v>
      </c>
      <c r="I33" s="8" t="n">
        <f aca="false">SQRT(2*G33*Assumptions!$B$3/H33)</f>
        <v>1886.55453141435</v>
      </c>
      <c r="J33" s="8" t="n">
        <f aca="false">Assumptions!$B$6*E33*SQRT(Assumptions!$B$5)</f>
        <v>446.083616212392</v>
      </c>
      <c r="K33" s="8" t="n">
        <f aca="false">D33*Assumptions!$B$5+J33</f>
        <v>1130.52361621239</v>
      </c>
      <c r="L33" s="8" t="n">
        <f aca="false">G33/I33</f>
        <v>9.43277265707173</v>
      </c>
      <c r="M33" s="8" t="n">
        <f aca="false">G33/I33*Assumptions!$B$3+I33/2*H33</f>
        <v>471.638632853586</v>
      </c>
      <c r="N33" s="8" t="n">
        <f aca="false">Assumptions!$B$8*Assumptions!$B$3+(G33/Assumptions!$B$8)/2*H33</f>
        <v>485.369166666667</v>
      </c>
    </row>
    <row r="34" customFormat="false" ht="15" hidden="false" customHeight="false" outlineLevel="0" collapsed="false">
      <c r="A34" s="2" t="s">
        <v>90</v>
      </c>
      <c r="B34" s="2" t="s">
        <v>91</v>
      </c>
      <c r="C34" s="2" t="s">
        <v>27</v>
      </c>
      <c r="D34" s="6" t="n">
        <v>160.39</v>
      </c>
      <c r="E34" s="6" t="n">
        <v>111.91</v>
      </c>
      <c r="F34" s="7" t="n">
        <v>2.95</v>
      </c>
      <c r="G34" s="8" t="n">
        <f aca="false">D34*Assumptions!$B$7</f>
        <v>8340.28</v>
      </c>
      <c r="H34" s="9" t="n">
        <f aca="false">F34*Assumptions!$B$4</f>
        <v>0.59</v>
      </c>
      <c r="I34" s="8" t="n">
        <f aca="false">SQRT(2*G34*Assumptions!$B$3/H34)</f>
        <v>840.715998319592</v>
      </c>
      <c r="J34" s="8" t="n">
        <f aca="false">Assumptions!$B$6*E34*SQRT(Assumptions!$B$5)</f>
        <v>260.34533241371</v>
      </c>
      <c r="K34" s="8" t="n">
        <f aca="false">D34*Assumptions!$B$5+J34</f>
        <v>581.12533241371</v>
      </c>
      <c r="L34" s="8" t="n">
        <f aca="false">G34/I34</f>
        <v>9.92044878017119</v>
      </c>
      <c r="M34" s="8" t="n">
        <f aca="false">G34/I34*Assumptions!$B$3+I34/2*H34</f>
        <v>496.022439008559</v>
      </c>
      <c r="N34" s="8" t="n">
        <f aca="false">Assumptions!$B$8*Assumptions!$B$3+(G34/Assumptions!$B$8)/2*H34</f>
        <v>505.031883333333</v>
      </c>
    </row>
    <row r="35" customFormat="false" ht="15" hidden="false" customHeight="false" outlineLevel="0" collapsed="false">
      <c r="A35" s="2" t="s">
        <v>92</v>
      </c>
      <c r="B35" s="2" t="s">
        <v>93</v>
      </c>
      <c r="C35" s="2" t="s">
        <v>27</v>
      </c>
      <c r="D35" s="6" t="n">
        <v>73.35</v>
      </c>
      <c r="E35" s="6" t="n">
        <v>135.97</v>
      </c>
      <c r="F35" s="7" t="n">
        <v>7.95</v>
      </c>
      <c r="G35" s="8" t="n">
        <f aca="false">D35*Assumptions!$B$7</f>
        <v>3814.2</v>
      </c>
      <c r="H35" s="9" t="n">
        <f aca="false">F35*Assumptions!$B$4</f>
        <v>1.59</v>
      </c>
      <c r="I35" s="8" t="n">
        <f aca="false">SQRT(2*G35*Assumptions!$B$3/H35)</f>
        <v>346.328451367217</v>
      </c>
      <c r="J35" s="8" t="n">
        <f aca="false">Assumptions!$B$6*E35*SQRT(Assumptions!$B$5)</f>
        <v>316.318066734806</v>
      </c>
      <c r="K35" s="8" t="n">
        <f aca="false">D35*Assumptions!$B$5+J35</f>
        <v>463.018066734806</v>
      </c>
      <c r="L35" s="8" t="n">
        <f aca="false">G35/I35</f>
        <v>11.0132447534775</v>
      </c>
      <c r="M35" s="8" t="n">
        <f aca="false">G35/I35*Assumptions!$B$3+I35/2*H35</f>
        <v>550.662237673876</v>
      </c>
      <c r="N35" s="8" t="n">
        <f aca="false">Assumptions!$B$8*Assumptions!$B$3+(G35/Assumptions!$B$8)/2*H35</f>
        <v>552.69075</v>
      </c>
    </row>
    <row r="36" customFormat="false" ht="15" hidden="false" customHeight="false" outlineLevel="0" collapsed="false">
      <c r="A36" s="2" t="s">
        <v>94</v>
      </c>
      <c r="B36" s="2" t="s">
        <v>95</v>
      </c>
      <c r="C36" s="2" t="s">
        <v>27</v>
      </c>
      <c r="D36" s="6" t="n">
        <v>53.61</v>
      </c>
      <c r="E36" s="6" t="n">
        <v>78.46</v>
      </c>
      <c r="F36" s="7" t="n">
        <v>8.5</v>
      </c>
      <c r="G36" s="8" t="n">
        <f aca="false">D36*Assumptions!$B$7</f>
        <v>2787.72</v>
      </c>
      <c r="H36" s="9" t="n">
        <f aca="false">F36*Assumptions!$B$4</f>
        <v>1.7</v>
      </c>
      <c r="I36" s="8" t="n">
        <f aca="false">SQRT(2*G36*Assumptions!$B$3/H36)</f>
        <v>286.34204145721</v>
      </c>
      <c r="J36" s="8" t="n">
        <f aca="false">Assumptions!$B$6*E36*SQRT(Assumptions!$B$5)</f>
        <v>182.52787759074</v>
      </c>
      <c r="K36" s="8" t="n">
        <f aca="false">D36*Assumptions!$B$5+J36</f>
        <v>289.74787759074</v>
      </c>
      <c r="L36" s="8" t="n">
        <f aca="false">G36/I36</f>
        <v>9.73562940954513</v>
      </c>
      <c r="M36" s="8" t="n">
        <f aca="false">G36/I36*Assumptions!$B$3+I36/2*H36</f>
        <v>486.781470477256</v>
      </c>
      <c r="N36" s="8" t="n">
        <f aca="false">Assumptions!$B$8*Assumptions!$B$3+(G36/Assumptions!$B$8)/2*H36</f>
        <v>497.4635</v>
      </c>
    </row>
    <row r="37" customFormat="false" ht="15" hidden="false" customHeight="false" outlineLevel="0" collapsed="false">
      <c r="A37" s="2" t="s">
        <v>96</v>
      </c>
      <c r="B37" s="2" t="s">
        <v>97</v>
      </c>
      <c r="C37" s="2" t="s">
        <v>27</v>
      </c>
      <c r="D37" s="6" t="n">
        <v>81.59</v>
      </c>
      <c r="E37" s="6" t="n">
        <v>118.25</v>
      </c>
      <c r="F37" s="7" t="n">
        <v>4.95</v>
      </c>
      <c r="G37" s="8" t="n">
        <f aca="false">D37*Assumptions!$B$7</f>
        <v>4242.68</v>
      </c>
      <c r="H37" s="9" t="n">
        <f aca="false">F37*Assumptions!$B$4</f>
        <v>0.99</v>
      </c>
      <c r="I37" s="8" t="n">
        <f aca="false">SQRT(2*G37*Assumptions!$B$3/H37)</f>
        <v>462.900386343291</v>
      </c>
      <c r="J37" s="8" t="n">
        <f aca="false">Assumptions!$B$6*E37*SQRT(Assumptions!$B$5)</f>
        <v>275.094589919767</v>
      </c>
      <c r="K37" s="8" t="n">
        <f aca="false">D37*Assumptions!$B$5+J37</f>
        <v>438.274589919767</v>
      </c>
      <c r="L37" s="8" t="n">
        <f aca="false">G37/I37</f>
        <v>9.16542764959715</v>
      </c>
      <c r="M37" s="8" t="n">
        <f aca="false">G37/I37*Assumptions!$B$3+I37/2*H37</f>
        <v>458.271382479858</v>
      </c>
      <c r="N37" s="8" t="n">
        <f aca="false">Assumptions!$B$8*Assumptions!$B$3+(G37/Assumptions!$B$8)/2*H37</f>
        <v>475.01055</v>
      </c>
    </row>
    <row r="38" customFormat="false" ht="15" hidden="false" customHeight="false" outlineLevel="0" collapsed="false">
      <c r="A38" s="2" t="s">
        <v>98</v>
      </c>
      <c r="B38" s="2" t="s">
        <v>99</v>
      </c>
      <c r="C38" s="2" t="s">
        <v>27</v>
      </c>
      <c r="D38" s="6" t="n">
        <v>92</v>
      </c>
      <c r="E38" s="6" t="n">
        <v>75.35</v>
      </c>
      <c r="F38" s="7" t="n">
        <v>4.95</v>
      </c>
      <c r="G38" s="8" t="n">
        <f aca="false">D38*Assumptions!$B$7</f>
        <v>4784</v>
      </c>
      <c r="H38" s="9" t="n">
        <f aca="false">F38*Assumptions!$B$4</f>
        <v>0.99</v>
      </c>
      <c r="I38" s="8" t="n">
        <f aca="false">SQRT(2*G38*Assumptions!$B$3/H38)</f>
        <v>491.544668993736</v>
      </c>
      <c r="J38" s="8" t="n">
        <f aca="false">Assumptions!$B$6*E38*SQRT(Assumptions!$B$5)</f>
        <v>175.292831716317</v>
      </c>
      <c r="K38" s="8" t="n">
        <f aca="false">D38*Assumptions!$B$5+J38</f>
        <v>359.292831716317</v>
      </c>
      <c r="L38" s="8" t="n">
        <f aca="false">G38/I38</f>
        <v>9.73258444607598</v>
      </c>
      <c r="M38" s="8" t="n">
        <f aca="false">G38/I38*Assumptions!$B$3+I38/2*H38</f>
        <v>486.629222303799</v>
      </c>
      <c r="N38" s="8" t="n">
        <f aca="false">Assumptions!$B$8*Assumptions!$B$3+(G38/Assumptions!$B$8)/2*H38</f>
        <v>497.34</v>
      </c>
    </row>
    <row r="39" customFormat="false" ht="15" hidden="false" customHeight="false" outlineLevel="0" collapsed="false">
      <c r="A39" s="2" t="s">
        <v>100</v>
      </c>
      <c r="B39" s="2" t="s">
        <v>101</v>
      </c>
      <c r="C39" s="2" t="s">
        <v>27</v>
      </c>
      <c r="D39" s="6" t="n">
        <v>255.29</v>
      </c>
      <c r="E39" s="6" t="n">
        <v>207.72</v>
      </c>
      <c r="F39" s="7" t="n">
        <v>1.65</v>
      </c>
      <c r="G39" s="8" t="n">
        <f aca="false">D39*Assumptions!$B$7</f>
        <v>13275.08</v>
      </c>
      <c r="H39" s="9" t="n">
        <f aca="false">F39*Assumptions!$B$4</f>
        <v>0.33</v>
      </c>
      <c r="I39" s="8" t="n">
        <f aca="false">SQRT(2*G39*Assumptions!$B$3/H39)</f>
        <v>1418.2297971682</v>
      </c>
      <c r="J39" s="8" t="n">
        <f aca="false">Assumptions!$B$6*E39*SQRT(Assumptions!$B$5)</f>
        <v>483.235925734749</v>
      </c>
      <c r="K39" s="8" t="n">
        <f aca="false">D39*Assumptions!$B$5+J39</f>
        <v>993.815925734749</v>
      </c>
      <c r="L39" s="8" t="n">
        <f aca="false">G39/I39</f>
        <v>9.36031666131013</v>
      </c>
      <c r="M39" s="8" t="n">
        <f aca="false">G39/I39*Assumptions!$B$3+I39/2*H39</f>
        <v>468.015833065506</v>
      </c>
      <c r="N39" s="8" t="n">
        <f aca="false">Assumptions!$B$8*Assumptions!$B$3+(G39/Assumptions!$B$8)/2*H39</f>
        <v>482.53235</v>
      </c>
    </row>
    <row r="40" customFormat="false" ht="15" hidden="false" customHeight="false" outlineLevel="0" collapsed="false">
      <c r="A40" s="2" t="s">
        <v>102</v>
      </c>
      <c r="B40" s="2" t="s">
        <v>103</v>
      </c>
      <c r="C40" s="2" t="s">
        <v>27</v>
      </c>
      <c r="D40" s="6" t="n">
        <v>153.39</v>
      </c>
      <c r="E40" s="6" t="n">
        <v>404.75</v>
      </c>
      <c r="F40" s="7" t="n">
        <v>3.95</v>
      </c>
      <c r="G40" s="8" t="n">
        <f aca="false">D40*Assumptions!$B$7</f>
        <v>7976.28</v>
      </c>
      <c r="H40" s="9" t="n">
        <f aca="false">F40*Assumptions!$B$4</f>
        <v>0.79</v>
      </c>
      <c r="I40" s="8" t="n">
        <f aca="false">SQRT(2*G40*Assumptions!$B$3/H40)</f>
        <v>710.512384199787</v>
      </c>
      <c r="J40" s="8" t="n">
        <f aca="false">Assumptions!$B$6*E40*SQRT(Assumptions!$B$5)</f>
        <v>941.602835264489</v>
      </c>
      <c r="K40" s="8" t="n">
        <f aca="false">D40*Assumptions!$B$5+J40</f>
        <v>1248.38283526449</v>
      </c>
      <c r="L40" s="8" t="n">
        <f aca="false">G40/I40</f>
        <v>11.2260956703566</v>
      </c>
      <c r="M40" s="8" t="n">
        <f aca="false">G40/I40*Assumptions!$B$3+I40/2*H40</f>
        <v>561.304783517832</v>
      </c>
      <c r="N40" s="8" t="n">
        <f aca="false">Assumptions!$B$8*Assumptions!$B$3+(G40/Assumptions!$B$8)/2*H40</f>
        <v>562.55255</v>
      </c>
    </row>
    <row r="41" customFormat="false" ht="15" hidden="false" customHeight="false" outlineLevel="0" collapsed="false">
      <c r="A41" s="2" t="s">
        <v>104</v>
      </c>
      <c r="B41" s="2" t="s">
        <v>105</v>
      </c>
      <c r="C41" s="2" t="s">
        <v>27</v>
      </c>
      <c r="D41" s="6" t="n">
        <v>144.67</v>
      </c>
      <c r="E41" s="6" t="n">
        <v>172.86</v>
      </c>
      <c r="F41" s="7" t="n">
        <v>2.95</v>
      </c>
      <c r="G41" s="8" t="n">
        <f aca="false">D41*Assumptions!$B$7</f>
        <v>7522.84</v>
      </c>
      <c r="H41" s="9" t="n">
        <f aca="false">F41*Assumptions!$B$4</f>
        <v>0.59</v>
      </c>
      <c r="I41" s="8" t="n">
        <f aca="false">SQRT(2*G41*Assumptions!$B$3/H41)</f>
        <v>798.454014680446</v>
      </c>
      <c r="J41" s="8" t="n">
        <f aca="false">Assumptions!$B$6*E41*SQRT(Assumptions!$B$5)</f>
        <v>402.138273264533</v>
      </c>
      <c r="K41" s="8" t="n">
        <f aca="false">D41*Assumptions!$B$5+J41</f>
        <v>691.478273264533</v>
      </c>
      <c r="L41" s="8" t="n">
        <f aca="false">G41/I41</f>
        <v>9.42175737322926</v>
      </c>
      <c r="M41" s="8" t="n">
        <f aca="false">G41/I41*Assumptions!$B$3+I41/2*H41</f>
        <v>471.087868661463</v>
      </c>
      <c r="N41" s="8" t="n">
        <f aca="false">Assumptions!$B$8*Assumptions!$B$3+(G41/Assumptions!$B$8)/2*H41</f>
        <v>484.936483333333</v>
      </c>
    </row>
    <row r="42" customFormat="false" ht="15" hidden="false" customHeight="false" outlineLevel="0" collapsed="false">
      <c r="A42" s="2" t="s">
        <v>106</v>
      </c>
      <c r="B42" s="2" t="s">
        <v>107</v>
      </c>
      <c r="C42" s="2" t="s">
        <v>27</v>
      </c>
      <c r="D42" s="6" t="n">
        <v>62.59</v>
      </c>
      <c r="E42" s="6" t="n">
        <v>259.15</v>
      </c>
      <c r="F42" s="7" t="n">
        <v>9.95</v>
      </c>
      <c r="G42" s="8" t="n">
        <f aca="false">D42*Assumptions!$B$7</f>
        <v>3254.68</v>
      </c>
      <c r="H42" s="9" t="n">
        <f aca="false">F42*Assumptions!$B$4</f>
        <v>1.99</v>
      </c>
      <c r="I42" s="8" t="n">
        <f aca="false">SQRT(2*G42*Assumptions!$B$3/H42)</f>
        <v>285.964821957151</v>
      </c>
      <c r="J42" s="8" t="n">
        <f aca="false">Assumptions!$B$6*E42*SQRT(Assumptions!$B$5)</f>
        <v>602.881716513385</v>
      </c>
      <c r="K42" s="8" t="n">
        <f aca="false">D42*Assumptions!$B$5+J42</f>
        <v>728.061716513385</v>
      </c>
      <c r="L42" s="8" t="n">
        <f aca="false">G42/I42</f>
        <v>11.3813999138946</v>
      </c>
      <c r="M42" s="8" t="n">
        <f aca="false">G42/I42*Assumptions!$B$3+I42/2*H42</f>
        <v>569.06999569473</v>
      </c>
      <c r="N42" s="8" t="n">
        <f aca="false">Assumptions!$B$8*Assumptions!$B$3+(G42/Assumptions!$B$8)/2*H42</f>
        <v>569.867216666667</v>
      </c>
    </row>
    <row r="43" customFormat="false" ht="15" hidden="false" customHeight="false" outlineLevel="0" collapsed="false">
      <c r="A43" s="2" t="s">
        <v>108</v>
      </c>
      <c r="B43" s="2" t="s">
        <v>109</v>
      </c>
      <c r="C43" s="2" t="s">
        <v>27</v>
      </c>
      <c r="D43" s="6" t="n">
        <v>84.92</v>
      </c>
      <c r="E43" s="6" t="n">
        <v>36.02</v>
      </c>
      <c r="F43" s="7" t="n">
        <v>4.95</v>
      </c>
      <c r="G43" s="8" t="n">
        <f aca="false">D43*Assumptions!$B$7</f>
        <v>4415.84</v>
      </c>
      <c r="H43" s="9" t="n">
        <f aca="false">F43*Assumptions!$B$4</f>
        <v>0.99</v>
      </c>
      <c r="I43" s="8" t="n">
        <f aca="false">SQRT(2*G43*Assumptions!$B$3/H43)</f>
        <v>472.252286624662</v>
      </c>
      <c r="J43" s="8" t="n">
        <f aca="false">Assumptions!$B$6*E43*SQRT(Assumptions!$B$5)</f>
        <v>83.7962547899368</v>
      </c>
      <c r="K43" s="8" t="n">
        <f aca="false">D43*Assumptions!$B$5+J43</f>
        <v>253.636254789937</v>
      </c>
      <c r="L43" s="8" t="n">
        <f aca="false">G43/I43</f>
        <v>9.35059527516832</v>
      </c>
      <c r="M43" s="8" t="n">
        <f aca="false">G43/I43*Assumptions!$B$3+I43/2*H43</f>
        <v>467.529763758416</v>
      </c>
      <c r="N43" s="8" t="n">
        <f aca="false">Assumptions!$B$8*Assumptions!$B$3+(G43/Assumptions!$B$8)/2*H43</f>
        <v>482.1534</v>
      </c>
    </row>
    <row r="44" customFormat="false" ht="15" hidden="false" customHeight="false" outlineLevel="0" collapsed="false">
      <c r="A44" s="2" t="s">
        <v>110</v>
      </c>
      <c r="B44" s="2" t="s">
        <v>111</v>
      </c>
      <c r="C44" s="2" t="s">
        <v>27</v>
      </c>
      <c r="D44" s="6" t="n">
        <v>143.55</v>
      </c>
      <c r="E44" s="6" t="n">
        <v>82</v>
      </c>
      <c r="F44" s="7" t="n">
        <v>2.95</v>
      </c>
      <c r="G44" s="8" t="n">
        <f aca="false">D44*Assumptions!$B$7</f>
        <v>7464.6</v>
      </c>
      <c r="H44" s="9" t="n">
        <f aca="false">F44*Assumptions!$B$4</f>
        <v>0.59</v>
      </c>
      <c r="I44" s="8" t="n">
        <f aca="false">SQRT(2*G44*Assumptions!$B$3/H44)</f>
        <v>795.357290995049</v>
      </c>
      <c r="J44" s="8" t="n">
        <f aca="false">Assumptions!$B$6*E44*SQRT(Assumptions!$B$5)</f>
        <v>190.763267428507</v>
      </c>
      <c r="K44" s="8" t="n">
        <f aca="false">D44*Assumptions!$B$5+J44</f>
        <v>477.863267428507</v>
      </c>
      <c r="L44" s="8" t="n">
        <f aca="false">G44/I44</f>
        <v>9.38521603374158</v>
      </c>
      <c r="M44" s="8" t="n">
        <f aca="false">G44/I44*Assumptions!$B$3+I44/2*H44</f>
        <v>469.260801687079</v>
      </c>
      <c r="N44" s="8" t="n">
        <f aca="false">Assumptions!$B$8*Assumptions!$B$3+(G44/Assumptions!$B$8)/2*H44</f>
        <v>483.50475</v>
      </c>
    </row>
    <row r="45" customFormat="false" ht="15" hidden="false" customHeight="false" outlineLevel="0" collapsed="false">
      <c r="A45" s="2" t="s">
        <v>112</v>
      </c>
      <c r="B45" s="2" t="s">
        <v>113</v>
      </c>
      <c r="C45" s="2" t="s">
        <v>27</v>
      </c>
      <c r="D45" s="6" t="n">
        <v>238.12</v>
      </c>
      <c r="E45" s="6" t="n">
        <v>112.74</v>
      </c>
      <c r="F45" s="7" t="n">
        <v>1.65</v>
      </c>
      <c r="G45" s="8" t="n">
        <f aca="false">D45*Assumptions!$B$7</f>
        <v>12382.24</v>
      </c>
      <c r="H45" s="9" t="n">
        <f aca="false">F45*Assumptions!$B$4</f>
        <v>0.33</v>
      </c>
      <c r="I45" s="8" t="n">
        <f aca="false">SQRT(2*G45*Assumptions!$B$3/H45)</f>
        <v>1369.70689189219</v>
      </c>
      <c r="J45" s="8" t="n">
        <f aca="false">Assumptions!$B$6*E45*SQRT(Assumptions!$B$5)</f>
        <v>262.276228901096</v>
      </c>
      <c r="K45" s="8" t="n">
        <f aca="false">D45*Assumptions!$B$5+J45</f>
        <v>738.516228901096</v>
      </c>
      <c r="L45" s="8" t="n">
        <f aca="false">G45/I45</f>
        <v>9.04006548648847</v>
      </c>
      <c r="M45" s="8" t="n">
        <f aca="false">G45/I45*Assumptions!$B$3+I45/2*H45</f>
        <v>452.003274324424</v>
      </c>
      <c r="N45" s="8" t="n">
        <f aca="false">Assumptions!$B$8*Assumptions!$B$3+(G45/Assumptions!$B$8)/2*H45</f>
        <v>470.2558</v>
      </c>
    </row>
    <row r="46" customFormat="false" ht="15" hidden="false" customHeight="false" outlineLevel="0" collapsed="false">
      <c r="A46" s="2" t="s">
        <v>114</v>
      </c>
      <c r="B46" s="2" t="s">
        <v>115</v>
      </c>
      <c r="C46" s="2" t="s">
        <v>27</v>
      </c>
      <c r="D46" s="6" t="n">
        <v>230.1</v>
      </c>
      <c r="E46" s="6" t="n">
        <v>95.62</v>
      </c>
      <c r="F46" s="7" t="n">
        <v>1.65</v>
      </c>
      <c r="G46" s="8" t="n">
        <f aca="false">D46*Assumptions!$B$7</f>
        <v>11965.2</v>
      </c>
      <c r="H46" s="9" t="n">
        <f aca="false">F46*Assumptions!$B$4</f>
        <v>0.33</v>
      </c>
      <c r="I46" s="8" t="n">
        <f aca="false">SQRT(2*G46*Assumptions!$B$3/H46)</f>
        <v>1346.44312576101</v>
      </c>
      <c r="J46" s="8" t="n">
        <f aca="false">Assumptions!$B$6*E46*SQRT(Assumptions!$B$5)</f>
        <v>222.44858087212</v>
      </c>
      <c r="K46" s="8" t="n">
        <f aca="false">D46*Assumptions!$B$5+J46</f>
        <v>682.64858087212</v>
      </c>
      <c r="L46" s="8" t="n">
        <f aca="false">G46/I46</f>
        <v>8.88652463002269</v>
      </c>
      <c r="M46" s="8" t="n">
        <f aca="false">G46/I46*Assumptions!$B$3+I46/2*H46</f>
        <v>444.326231501135</v>
      </c>
      <c r="N46" s="8" t="n">
        <f aca="false">Assumptions!$B$8*Assumptions!$B$3+(G46/Assumptions!$B$8)/2*H46</f>
        <v>464.5215</v>
      </c>
    </row>
    <row r="47" customFormat="false" ht="15" hidden="false" customHeight="false" outlineLevel="0" collapsed="false">
      <c r="A47" s="2" t="s">
        <v>116</v>
      </c>
      <c r="B47" s="2" t="s">
        <v>117</v>
      </c>
      <c r="C47" s="2" t="s">
        <v>27</v>
      </c>
      <c r="D47" s="6" t="n">
        <v>199.37</v>
      </c>
      <c r="E47" s="6" t="n">
        <v>132.67</v>
      </c>
      <c r="F47" s="7" t="n">
        <v>2.08</v>
      </c>
      <c r="G47" s="8" t="n">
        <f aca="false">D47*Assumptions!$B$7</f>
        <v>10367.24</v>
      </c>
      <c r="H47" s="9" t="n">
        <f aca="false">F47*Assumptions!$B$4</f>
        <v>0.416</v>
      </c>
      <c r="I47" s="8" t="n">
        <f aca="false">SQRT(2*G47*Assumptions!$B$3/H47)</f>
        <v>1116.2716963177</v>
      </c>
      <c r="J47" s="8" t="n">
        <f aca="false">Assumptions!$B$6*E47*SQRT(Assumptions!$B$5)</f>
        <v>308.641008411463</v>
      </c>
      <c r="K47" s="8" t="n">
        <f aca="false">D47*Assumptions!$B$5+J47</f>
        <v>707.381008411463</v>
      </c>
      <c r="L47" s="8" t="n">
        <f aca="false">G47/I47</f>
        <v>9.28738051336328</v>
      </c>
      <c r="M47" s="8" t="n">
        <f aca="false">G47/I47*Assumptions!$B$3+I47/2*H47</f>
        <v>464.369025668164</v>
      </c>
      <c r="N47" s="8" t="n">
        <f aca="false">Assumptions!$B$8*Assumptions!$B$3+(G47/Assumptions!$B$8)/2*H47</f>
        <v>479.698826666667</v>
      </c>
    </row>
    <row r="48" customFormat="false" ht="15" hidden="false" customHeight="false" outlineLevel="0" collapsed="false">
      <c r="A48" s="2" t="s">
        <v>118</v>
      </c>
      <c r="B48" s="2" t="s">
        <v>119</v>
      </c>
      <c r="C48" s="2" t="s">
        <v>27</v>
      </c>
      <c r="D48" s="6" t="n">
        <v>131.24</v>
      </c>
      <c r="E48" s="6" t="n">
        <v>67.93</v>
      </c>
      <c r="F48" s="7" t="n">
        <v>2.95</v>
      </c>
      <c r="G48" s="8" t="n">
        <f aca="false">D48*Assumptions!$B$7</f>
        <v>6824.48</v>
      </c>
      <c r="H48" s="9" t="n">
        <f aca="false">F48*Assumptions!$B$4</f>
        <v>0.59</v>
      </c>
      <c r="I48" s="8" t="n">
        <f aca="false">SQRT(2*G48*Assumptions!$B$3/H48)</f>
        <v>760.490475096082</v>
      </c>
      <c r="J48" s="8" t="n">
        <f aca="false">Assumptions!$B$6*E48*SQRT(Assumptions!$B$5)</f>
        <v>158.031082395347</v>
      </c>
      <c r="K48" s="8" t="n">
        <f aca="false">D48*Assumptions!$B$5+J48</f>
        <v>420.511082395347</v>
      </c>
      <c r="L48" s="8" t="n">
        <f aca="false">G48/I48</f>
        <v>8.97378760613377</v>
      </c>
      <c r="M48" s="8" t="n">
        <f aca="false">G48/I48*Assumptions!$B$3+I48/2*H48</f>
        <v>448.689380306688</v>
      </c>
      <c r="N48" s="8" t="n">
        <f aca="false">Assumptions!$B$8*Assumptions!$B$3+(G48/Assumptions!$B$8)/2*H48</f>
        <v>467.768466666667</v>
      </c>
    </row>
    <row r="49" customFormat="false" ht="15" hidden="false" customHeight="false" outlineLevel="0" collapsed="false">
      <c r="A49" s="2" t="s">
        <v>120</v>
      </c>
      <c r="B49" s="2" t="s">
        <v>121</v>
      </c>
      <c r="C49" s="2" t="s">
        <v>27</v>
      </c>
      <c r="D49" s="6" t="n">
        <v>64.96</v>
      </c>
      <c r="E49" s="6" t="n">
        <v>130.5</v>
      </c>
      <c r="F49" s="7" t="n">
        <v>7.95</v>
      </c>
      <c r="G49" s="8" t="n">
        <f aca="false">D49*Assumptions!$B$7</f>
        <v>3377.92</v>
      </c>
      <c r="H49" s="9" t="n">
        <f aca="false">F49*Assumptions!$B$4</f>
        <v>1.59</v>
      </c>
      <c r="I49" s="8" t="n">
        <f aca="false">SQRT(2*G49*Assumptions!$B$3/H49)</f>
        <v>325.920081263903</v>
      </c>
      <c r="J49" s="8" t="n">
        <f aca="false">Assumptions!$B$6*E49*SQRT(Assumptions!$B$5)</f>
        <v>303.592760968538</v>
      </c>
      <c r="K49" s="8" t="n">
        <f aca="false">D49*Assumptions!$B$5+J49</f>
        <v>433.512760968538</v>
      </c>
      <c r="L49" s="8" t="n">
        <f aca="false">G49/I49</f>
        <v>10.3642585841921</v>
      </c>
      <c r="M49" s="8" t="n">
        <f aca="false">G49/I49*Assumptions!$B$3+I49/2*H49</f>
        <v>518.212929209606</v>
      </c>
      <c r="N49" s="8" t="n">
        <f aca="false">Assumptions!$B$8*Assumptions!$B$3+(G49/Assumptions!$B$8)/2*H49</f>
        <v>523.7872</v>
      </c>
    </row>
    <row r="50" customFormat="false" ht="15" hidden="false" customHeight="false" outlineLevel="0" collapsed="false">
      <c r="A50" s="2" t="s">
        <v>122</v>
      </c>
      <c r="B50" s="2" t="s">
        <v>123</v>
      </c>
      <c r="C50" s="2" t="s">
        <v>27</v>
      </c>
      <c r="D50" s="6" t="n">
        <v>73.82</v>
      </c>
      <c r="E50" s="6" t="n">
        <v>45.41</v>
      </c>
      <c r="F50" s="7" t="n">
        <v>4.25</v>
      </c>
      <c r="G50" s="8" t="n">
        <f aca="false">D50*Assumptions!$B$7</f>
        <v>3838.64</v>
      </c>
      <c r="H50" s="9" t="n">
        <f aca="false">F50*Assumptions!$B$4</f>
        <v>0.85</v>
      </c>
      <c r="I50" s="8" t="n">
        <f aca="false">SQRT(2*G50*Assumptions!$B$3/H50)</f>
        <v>475.186650634439</v>
      </c>
      <c r="J50" s="8" t="n">
        <f aca="false">Assumptions!$B$6*E50*SQRT(Assumptions!$B$5)</f>
        <v>105.640975291811</v>
      </c>
      <c r="K50" s="8" t="n">
        <f aca="false">D50*Assumptions!$B$5+J50</f>
        <v>253.280975291811</v>
      </c>
      <c r="L50" s="8" t="n">
        <f aca="false">G50/I50</f>
        <v>8.07817306078546</v>
      </c>
      <c r="M50" s="8" t="n">
        <f aca="false">G50/I50*Assumptions!$B$3+I50/2*H50</f>
        <v>403.908653039273</v>
      </c>
      <c r="N50" s="8" t="n">
        <f aca="false">Assumptions!$B$8*Assumptions!$B$3+(G50/Assumptions!$B$8)/2*H50</f>
        <v>435.951833333333</v>
      </c>
    </row>
    <row r="51" customFormat="false" ht="15" hidden="false" customHeight="false" outlineLevel="0" collapsed="false">
      <c r="A51" s="2" t="s">
        <v>124</v>
      </c>
      <c r="B51" s="2" t="s">
        <v>125</v>
      </c>
      <c r="C51" s="2" t="s">
        <v>27</v>
      </c>
      <c r="D51" s="6" t="n">
        <v>31.96</v>
      </c>
      <c r="E51" s="6" t="n">
        <v>35.02</v>
      </c>
      <c r="F51" s="7" t="n">
        <v>12.75</v>
      </c>
      <c r="G51" s="8" t="n">
        <f aca="false">D51*Assumptions!$B$7</f>
        <v>1661.92</v>
      </c>
      <c r="H51" s="9" t="n">
        <f aca="false">F51*Assumptions!$B$4</f>
        <v>2.55</v>
      </c>
      <c r="I51" s="8" t="n">
        <f aca="false">SQRT(2*G51*Assumptions!$B$3/H51)</f>
        <v>180.517773824814</v>
      </c>
      <c r="J51" s="8" t="n">
        <f aca="false">Assumptions!$B$6*E51*SQRT(Assumptions!$B$5)</f>
        <v>81.469873479833</v>
      </c>
      <c r="K51" s="8" t="n">
        <f aca="false">D51*Assumptions!$B$5+J51</f>
        <v>145.389873479833</v>
      </c>
      <c r="L51" s="8" t="n">
        <f aca="false">G51/I51</f>
        <v>9.20640646506551</v>
      </c>
      <c r="M51" s="8" t="n">
        <f aca="false">G51/I51*Assumptions!$B$3+I51/2*H51</f>
        <v>460.320323253275</v>
      </c>
      <c r="N51" s="8" t="n">
        <f aca="false">Assumptions!$B$8*Assumptions!$B$3+(G51/Assumptions!$B$8)/2*H51</f>
        <v>476.579</v>
      </c>
    </row>
    <row r="52" customFormat="false" ht="15" hidden="false" customHeight="false" outlineLevel="0" collapsed="false">
      <c r="A52" s="2" t="s">
        <v>126</v>
      </c>
      <c r="B52" s="2" t="s">
        <v>127</v>
      </c>
      <c r="C52" s="2" t="s">
        <v>27</v>
      </c>
      <c r="D52" s="6" t="n">
        <v>73.39</v>
      </c>
      <c r="E52" s="6" t="n">
        <v>69.96</v>
      </c>
      <c r="F52" s="7" t="n">
        <v>5.95</v>
      </c>
      <c r="G52" s="8" t="n">
        <f aca="false">D52*Assumptions!$B$7</f>
        <v>3816.28</v>
      </c>
      <c r="H52" s="9" t="n">
        <f aca="false">F52*Assumptions!$B$4</f>
        <v>1.19</v>
      </c>
      <c r="I52" s="8" t="n">
        <f aca="false">SQRT(2*G52*Assumptions!$B$3/H52)</f>
        <v>400.434637812045</v>
      </c>
      <c r="J52" s="8" t="n">
        <f aca="false">Assumptions!$B$6*E52*SQRT(Assumptions!$B$5)</f>
        <v>162.753636454858</v>
      </c>
      <c r="K52" s="8" t="n">
        <f aca="false">D52*Assumptions!$B$5+J52</f>
        <v>309.533636454858</v>
      </c>
      <c r="L52" s="8" t="n">
        <f aca="false">G52/I52</f>
        <v>9.53034437992668</v>
      </c>
      <c r="M52" s="8" t="n">
        <f aca="false">G52/I52*Assumptions!$B$3+I52/2*H52</f>
        <v>476.517218996334</v>
      </c>
      <c r="N52" s="8" t="n">
        <f aca="false">Assumptions!$B$8*Assumptions!$B$3+(G52/Assumptions!$B$8)/2*H52</f>
        <v>489.223883333333</v>
      </c>
    </row>
    <row r="53" customFormat="false" ht="15" hidden="false" customHeight="false" outlineLevel="0" collapsed="false">
      <c r="A53" s="2" t="s">
        <v>128</v>
      </c>
      <c r="B53" s="2" t="s">
        <v>129</v>
      </c>
      <c r="C53" s="2" t="s">
        <v>27</v>
      </c>
      <c r="D53" s="6" t="n">
        <v>183.43</v>
      </c>
      <c r="E53" s="6" t="n">
        <v>129.52</v>
      </c>
      <c r="F53" s="7" t="n">
        <v>2.08</v>
      </c>
      <c r="G53" s="8" t="n">
        <f aca="false">D53*Assumptions!$B$7</f>
        <v>9538.36</v>
      </c>
      <c r="H53" s="9" t="n">
        <f aca="false">F53*Assumptions!$B$4</f>
        <v>0.416</v>
      </c>
      <c r="I53" s="8" t="n">
        <f aca="false">SQRT(2*G53*Assumptions!$B$3/H53)</f>
        <v>1070.71821689929</v>
      </c>
      <c r="J53" s="8" t="n">
        <f aca="false">Assumptions!$B$6*E53*SQRT(Assumptions!$B$5)</f>
        <v>301.312907284637</v>
      </c>
      <c r="K53" s="8" t="n">
        <f aca="false">D53*Assumptions!$B$5+J53</f>
        <v>668.172907284637</v>
      </c>
      <c r="L53" s="8" t="n">
        <f aca="false">G53/I53</f>
        <v>8.90837556460211</v>
      </c>
      <c r="M53" s="8" t="n">
        <f aca="false">G53/I53*Assumptions!$B$3+I53/2*H53</f>
        <v>445.418778230106</v>
      </c>
      <c r="N53" s="8" t="n">
        <f aca="false">Assumptions!$B$8*Assumptions!$B$3+(G53/Assumptions!$B$8)/2*H53</f>
        <v>465.331573333333</v>
      </c>
    </row>
    <row r="54" customFormat="false" ht="15" hidden="false" customHeight="false" outlineLevel="0" collapsed="false">
      <c r="A54" s="2" t="s">
        <v>130</v>
      </c>
      <c r="B54" s="2" t="s">
        <v>131</v>
      </c>
      <c r="C54" s="2" t="s">
        <v>27</v>
      </c>
      <c r="D54" s="6" t="n">
        <v>225.69</v>
      </c>
      <c r="E54" s="6" t="n">
        <v>111.25</v>
      </c>
      <c r="F54" s="7" t="n">
        <v>1.65</v>
      </c>
      <c r="G54" s="8" t="n">
        <f aca="false">D54*Assumptions!$B$7</f>
        <v>11735.88</v>
      </c>
      <c r="H54" s="9" t="n">
        <f aca="false">F54*Assumptions!$B$4</f>
        <v>0.33</v>
      </c>
      <c r="I54" s="8" t="n">
        <f aca="false">SQRT(2*G54*Assumptions!$B$3/H54)</f>
        <v>1333.47802245243</v>
      </c>
      <c r="J54" s="8" t="n">
        <f aca="false">Assumptions!$B$6*E54*SQRT(Assumptions!$B$5)</f>
        <v>258.809920749041</v>
      </c>
      <c r="K54" s="8" t="n">
        <f aca="false">D54*Assumptions!$B$5+J54</f>
        <v>710.189920749041</v>
      </c>
      <c r="L54" s="8" t="n">
        <f aca="false">G54/I54</f>
        <v>8.80095494818602</v>
      </c>
      <c r="M54" s="8" t="n">
        <f aca="false">G54/I54*Assumptions!$B$3+I54/2*H54</f>
        <v>440.047747409301</v>
      </c>
      <c r="N54" s="8" t="n">
        <f aca="false">Assumptions!$B$8*Assumptions!$B$3+(G54/Assumptions!$B$8)/2*H54</f>
        <v>461.36835</v>
      </c>
    </row>
    <row r="55" customFormat="false" ht="15" hidden="false" customHeight="false" outlineLevel="0" collapsed="false">
      <c r="A55" s="2" t="s">
        <v>132</v>
      </c>
      <c r="B55" s="2" t="s">
        <v>133</v>
      </c>
      <c r="C55" s="2" t="s">
        <v>27</v>
      </c>
      <c r="D55" s="6" t="n">
        <v>159.39</v>
      </c>
      <c r="E55" s="6" t="n">
        <v>80.13</v>
      </c>
      <c r="F55" s="7" t="n">
        <v>2.55</v>
      </c>
      <c r="G55" s="8" t="n">
        <f aca="false">D55*Assumptions!$B$7</f>
        <v>8288.28</v>
      </c>
      <c r="H55" s="9" t="n">
        <f aca="false">F55*Assumptions!$B$4</f>
        <v>0.51</v>
      </c>
      <c r="I55" s="8" t="n">
        <f aca="false">SQRT(2*G55*Assumptions!$B$3/H55)</f>
        <v>901.430236118267</v>
      </c>
      <c r="J55" s="8" t="n">
        <f aca="false">Assumptions!$B$6*E55*SQRT(Assumptions!$B$5)</f>
        <v>186.412934378613</v>
      </c>
      <c r="K55" s="8" t="n">
        <f aca="false">D55*Assumptions!$B$5+J55</f>
        <v>505.192934378613</v>
      </c>
      <c r="L55" s="8" t="n">
        <f aca="false">G55/I55</f>
        <v>9.19458840840633</v>
      </c>
      <c r="M55" s="8" t="n">
        <f aca="false">G55/I55*Assumptions!$B$3+I55/2*H55</f>
        <v>459.729420420316</v>
      </c>
      <c r="N55" s="8" t="n">
        <f aca="false">Assumptions!$B$8*Assumptions!$B$3+(G55/Assumptions!$B$8)/2*H55</f>
        <v>476.12595</v>
      </c>
    </row>
    <row r="56" customFormat="false" ht="15" hidden="false" customHeight="false" outlineLevel="0" collapsed="false">
      <c r="A56" s="2" t="s">
        <v>134</v>
      </c>
      <c r="B56" s="2" t="s">
        <v>135</v>
      </c>
      <c r="C56" s="2" t="s">
        <v>27</v>
      </c>
      <c r="D56" s="6" t="n">
        <v>61.39</v>
      </c>
      <c r="E56" s="6" t="n">
        <v>116.61</v>
      </c>
      <c r="F56" s="7" t="n">
        <v>7.95</v>
      </c>
      <c r="G56" s="8" t="n">
        <f aca="false">D56*Assumptions!$B$7</f>
        <v>3192.28</v>
      </c>
      <c r="H56" s="9" t="n">
        <f aca="false">F56*Assumptions!$B$4</f>
        <v>1.59</v>
      </c>
      <c r="I56" s="8" t="n">
        <f aca="false">SQRT(2*G56*Assumptions!$B$3/H56)</f>
        <v>316.837755834138</v>
      </c>
      <c r="J56" s="8" t="n">
        <f aca="false">Assumptions!$B$6*E56*SQRT(Assumptions!$B$5)</f>
        <v>271.279324571197</v>
      </c>
      <c r="K56" s="8" t="n">
        <f aca="false">D56*Assumptions!$B$5+J56</f>
        <v>394.059324571197</v>
      </c>
      <c r="L56" s="8" t="n">
        <f aca="false">G56/I56</f>
        <v>10.0754406355256</v>
      </c>
      <c r="M56" s="8" t="n">
        <f aca="false">G56/I56*Assumptions!$B$3+I56/2*H56</f>
        <v>503.772031776279</v>
      </c>
      <c r="N56" s="8" t="n">
        <f aca="false">Assumptions!$B$8*Assumptions!$B$3+(G56/Assumptions!$B$8)/2*H56</f>
        <v>511.48855</v>
      </c>
    </row>
    <row r="57" customFormat="false" ht="15" hidden="false" customHeight="false" outlineLevel="0" collapsed="false">
      <c r="A57" s="2" t="s">
        <v>136</v>
      </c>
      <c r="B57" s="2" t="s">
        <v>137</v>
      </c>
      <c r="C57" s="2" t="s">
        <v>27</v>
      </c>
      <c r="D57" s="6" t="n">
        <v>328.94</v>
      </c>
      <c r="E57" s="6" t="n">
        <v>147.36</v>
      </c>
      <c r="F57" s="7" t="n">
        <v>0.85</v>
      </c>
      <c r="G57" s="8" t="n">
        <f aca="false">D57*Assumptions!$B$7</f>
        <v>17104.88</v>
      </c>
      <c r="H57" s="9" t="n">
        <f aca="false">F57*Assumptions!$B$4</f>
        <v>0.17</v>
      </c>
      <c r="I57" s="8" t="n">
        <f aca="false">SQRT(2*G57*Assumptions!$B$3/H57)</f>
        <v>2242.95498368191</v>
      </c>
      <c r="J57" s="8" t="n">
        <f aca="false">Assumptions!$B$6*E57*SQRT(Assumptions!$B$5)</f>
        <v>342.815549856887</v>
      </c>
      <c r="K57" s="8" t="n">
        <f aca="false">D57*Assumptions!$B$5+J57</f>
        <v>1000.69554985689</v>
      </c>
      <c r="L57" s="8" t="n">
        <f aca="false">G57/I57</f>
        <v>7.62604694451851</v>
      </c>
      <c r="M57" s="8" t="n">
        <f aca="false">G57/I57*Assumptions!$B$3+I57/2*H57</f>
        <v>381.302347225925</v>
      </c>
      <c r="N57" s="8" t="n">
        <f aca="false">Assumptions!$B$8*Assumptions!$B$3+(G57/Assumptions!$B$8)/2*H57</f>
        <v>421.159566666667</v>
      </c>
    </row>
    <row r="58" customFormat="false" ht="15" hidden="false" customHeight="false" outlineLevel="0" collapsed="false">
      <c r="A58" s="2" t="s">
        <v>138</v>
      </c>
      <c r="B58" s="2" t="s">
        <v>139</v>
      </c>
      <c r="C58" s="2" t="s">
        <v>27</v>
      </c>
      <c r="D58" s="6" t="n">
        <v>686</v>
      </c>
      <c r="E58" s="6" t="n">
        <v>437.15</v>
      </c>
      <c r="F58" s="7" t="n">
        <v>0.55</v>
      </c>
      <c r="G58" s="8" t="n">
        <f aca="false">D58*Assumptions!$B$7</f>
        <v>35672</v>
      </c>
      <c r="H58" s="9" t="n">
        <f aca="false">F58*Assumptions!$B$4</f>
        <v>0.11</v>
      </c>
      <c r="I58" s="8" t="n">
        <f aca="false">SQRT(2*G58*Assumptions!$B$3/H58)</f>
        <v>4026.72887770526</v>
      </c>
      <c r="J58" s="8" t="n">
        <f aca="false">Assumptions!$B$6*E58*SQRT(Assumptions!$B$5)</f>
        <v>1016.97758971185</v>
      </c>
      <c r="K58" s="8" t="n">
        <f aca="false">D58*Assumptions!$B$5+J58</f>
        <v>2388.97758971185</v>
      </c>
      <c r="L58" s="8" t="n">
        <f aca="false">G58/I58</f>
        <v>8.85880353095157</v>
      </c>
      <c r="M58" s="8" t="n">
        <f aca="false">G58/I58*Assumptions!$B$3+I58/2*H58</f>
        <v>442.940176547579</v>
      </c>
      <c r="N58" s="8" t="n">
        <f aca="false">Assumptions!$B$8*Assumptions!$B$3+(G58/Assumptions!$B$8)/2*H58</f>
        <v>463.496666666667</v>
      </c>
    </row>
    <row r="59" customFormat="false" ht="15" hidden="false" customHeight="false" outlineLevel="0" collapsed="false">
      <c r="A59" s="2" t="s">
        <v>140</v>
      </c>
      <c r="B59" s="2" t="s">
        <v>141</v>
      </c>
      <c r="C59" s="2" t="s">
        <v>27</v>
      </c>
      <c r="D59" s="6" t="n">
        <v>218.69</v>
      </c>
      <c r="E59" s="6" t="n">
        <v>175.44</v>
      </c>
      <c r="F59" s="7" t="n">
        <v>1.95</v>
      </c>
      <c r="G59" s="8" t="n">
        <f aca="false">D59*Assumptions!$B$7</f>
        <v>11371.88</v>
      </c>
      <c r="H59" s="9" t="n">
        <f aca="false">F59*Assumptions!$B$4</f>
        <v>0.39</v>
      </c>
      <c r="I59" s="8" t="n">
        <f aca="false">SQRT(2*G59*Assumptions!$B$3/H59)</f>
        <v>1207.44910175681</v>
      </c>
      <c r="J59" s="8" t="n">
        <f aca="false">Assumptions!$B$6*E59*SQRT(Assumptions!$B$5)</f>
        <v>408.1403370446</v>
      </c>
      <c r="K59" s="8" t="n">
        <f aca="false">D59*Assumptions!$B$5+J59</f>
        <v>845.5203370446</v>
      </c>
      <c r="L59" s="8" t="n">
        <f aca="false">G59/I59</f>
        <v>9.41810299370314</v>
      </c>
      <c r="M59" s="8" t="n">
        <f aca="false">G59/I59*Assumptions!$B$3+I59/2*H59</f>
        <v>470.905149685157</v>
      </c>
      <c r="N59" s="8" t="n">
        <f aca="false">Assumptions!$B$8*Assumptions!$B$3+(G59/Assumptions!$B$8)/2*H59</f>
        <v>484.79305</v>
      </c>
    </row>
    <row r="60" customFormat="false" ht="15" hidden="false" customHeight="false" outlineLevel="0" collapsed="false">
      <c r="A60" s="2" t="s">
        <v>142</v>
      </c>
      <c r="B60" s="2" t="s">
        <v>143</v>
      </c>
      <c r="C60" s="2" t="s">
        <v>27</v>
      </c>
      <c r="D60" s="6" t="n">
        <v>192.06</v>
      </c>
      <c r="E60" s="6" t="n">
        <v>156.09</v>
      </c>
      <c r="F60" s="7" t="n">
        <v>2.08</v>
      </c>
      <c r="G60" s="8" t="n">
        <f aca="false">D60*Assumptions!$B$7</f>
        <v>9987.12</v>
      </c>
      <c r="H60" s="9" t="n">
        <f aca="false">F60*Assumptions!$B$4</f>
        <v>0.416</v>
      </c>
      <c r="I60" s="8" t="n">
        <f aca="false">SQRT(2*G60*Assumptions!$B$3/H60)</f>
        <v>1095.61626493951</v>
      </c>
      <c r="J60" s="8" t="n">
        <f aca="false">Assumptions!$B$6*E60*SQRT(Assumptions!$B$5)</f>
        <v>363.124858694093</v>
      </c>
      <c r="K60" s="8" t="n">
        <f aca="false">D60*Assumptions!$B$5+J60</f>
        <v>747.244858694093</v>
      </c>
      <c r="L60" s="8" t="n">
        <f aca="false">G60/I60</f>
        <v>9.11552732429671</v>
      </c>
      <c r="M60" s="8" t="n">
        <f aca="false">G60/I60*Assumptions!$B$3+I60/2*H60</f>
        <v>455.776366214836</v>
      </c>
      <c r="N60" s="8" t="n">
        <f aca="false">Assumptions!$B$8*Assumptions!$B$3+(G60/Assumptions!$B$8)/2*H60</f>
        <v>473.11008</v>
      </c>
    </row>
    <row r="61" customFormat="false" ht="15" hidden="false" customHeight="false" outlineLevel="0" collapsed="false">
      <c r="A61" s="2" t="s">
        <v>144</v>
      </c>
      <c r="B61" s="2" t="s">
        <v>145</v>
      </c>
      <c r="C61" s="2" t="s">
        <v>27</v>
      </c>
      <c r="D61" s="6" t="n">
        <v>100.04</v>
      </c>
      <c r="E61" s="6" t="n">
        <v>109.61</v>
      </c>
      <c r="F61" s="7" t="n">
        <v>3.75</v>
      </c>
      <c r="G61" s="8" t="n">
        <f aca="false">D61*Assumptions!$B$7</f>
        <v>5202.08</v>
      </c>
      <c r="H61" s="9" t="n">
        <f aca="false">F61*Assumptions!$B$4</f>
        <v>0.75</v>
      </c>
      <c r="I61" s="8" t="n">
        <f aca="false">SQRT(2*G61*Assumptions!$B$3/H61)</f>
        <v>588.901802793414</v>
      </c>
      <c r="J61" s="8" t="n">
        <f aca="false">Assumptions!$B$6*E61*SQRT(Assumptions!$B$5)</f>
        <v>254.994655400471</v>
      </c>
      <c r="K61" s="8" t="n">
        <f aca="false">D61*Assumptions!$B$5+J61</f>
        <v>455.074655400471</v>
      </c>
      <c r="L61" s="8" t="n">
        <f aca="false">G61/I61</f>
        <v>8.83352704190121</v>
      </c>
      <c r="M61" s="8" t="n">
        <f aca="false">G61/I61*Assumptions!$B$3+I61/2*H61</f>
        <v>441.676352095061</v>
      </c>
      <c r="N61" s="8" t="n">
        <f aca="false">Assumptions!$B$8*Assumptions!$B$3+(G61/Assumptions!$B$8)/2*H61</f>
        <v>462.565</v>
      </c>
    </row>
    <row r="62" customFormat="false" ht="15" hidden="false" customHeight="false" outlineLevel="0" collapsed="false">
      <c r="A62" s="2" t="s">
        <v>146</v>
      </c>
      <c r="B62" s="2" t="s">
        <v>147</v>
      </c>
      <c r="C62" s="2" t="s">
        <v>27</v>
      </c>
      <c r="D62" s="6" t="n">
        <v>212.22</v>
      </c>
      <c r="E62" s="6" t="n">
        <v>241.25</v>
      </c>
      <c r="F62" s="7" t="n">
        <v>1.95</v>
      </c>
      <c r="G62" s="8" t="n">
        <f aca="false">D62*Assumptions!$B$7</f>
        <v>11035.44</v>
      </c>
      <c r="H62" s="9" t="n">
        <f aca="false">F62*Assumptions!$B$4</f>
        <v>0.39</v>
      </c>
      <c r="I62" s="8" t="n">
        <f aca="false">SQRT(2*G62*Assumptions!$B$3/H62)</f>
        <v>1189.45365609594</v>
      </c>
      <c r="J62" s="8" t="n">
        <f aca="false">Assumptions!$B$6*E62*SQRT(Assumptions!$B$5)</f>
        <v>561.239491062528</v>
      </c>
      <c r="K62" s="8" t="n">
        <f aca="false">D62*Assumptions!$B$5+J62</f>
        <v>985.679491062528</v>
      </c>
      <c r="L62" s="8" t="n">
        <f aca="false">G62/I62</f>
        <v>9.27773851754834</v>
      </c>
      <c r="M62" s="8" t="n">
        <f aca="false">G62/I62*Assumptions!$B$3+I62/2*H62</f>
        <v>463.886925877417</v>
      </c>
      <c r="N62" s="8" t="n">
        <f aca="false">Assumptions!$B$8*Assumptions!$B$3+(G62/Assumptions!$B$8)/2*H62</f>
        <v>479.3259</v>
      </c>
    </row>
    <row r="63" customFormat="false" ht="15" hidden="false" customHeight="false" outlineLevel="0" collapsed="false">
      <c r="A63" s="2" t="s">
        <v>148</v>
      </c>
      <c r="B63" s="2" t="s">
        <v>149</v>
      </c>
      <c r="C63" s="2" t="s">
        <v>27</v>
      </c>
      <c r="D63" s="6" t="n">
        <v>156.24</v>
      </c>
      <c r="E63" s="6" t="n">
        <v>95.37</v>
      </c>
      <c r="F63" s="7" t="n">
        <v>2.55</v>
      </c>
      <c r="G63" s="8" t="n">
        <f aca="false">D63*Assumptions!$B$7</f>
        <v>8124.48</v>
      </c>
      <c r="H63" s="9" t="n">
        <f aca="false">F63*Assumptions!$B$4</f>
        <v>0.51</v>
      </c>
      <c r="I63" s="8" t="n">
        <f aca="false">SQRT(2*G63*Assumptions!$B$3/H63)</f>
        <v>892.478373440401</v>
      </c>
      <c r="J63" s="8" t="n">
        <f aca="false">Assumptions!$B$6*E63*SQRT(Assumptions!$B$5)</f>
        <v>221.866985544594</v>
      </c>
      <c r="K63" s="8" t="n">
        <f aca="false">D63*Assumptions!$B$5+J63</f>
        <v>534.346985544594</v>
      </c>
      <c r="L63" s="8" t="n">
        <f aca="false">G63/I63</f>
        <v>9.10327940909209</v>
      </c>
      <c r="M63" s="8" t="n">
        <f aca="false">G63/I63*Assumptions!$B$3+I63/2*H63</f>
        <v>455.163970454604</v>
      </c>
      <c r="N63" s="8" t="n">
        <f aca="false">Assumptions!$B$8*Assumptions!$B$3+(G63/Assumptions!$B$8)/2*H63</f>
        <v>472.6452</v>
      </c>
    </row>
    <row r="64" customFormat="false" ht="15" hidden="false" customHeight="false" outlineLevel="0" collapsed="false">
      <c r="A64" s="2" t="s">
        <v>150</v>
      </c>
      <c r="B64" s="2" t="s">
        <v>151</v>
      </c>
      <c r="C64" s="2" t="s">
        <v>27</v>
      </c>
      <c r="D64" s="6" t="n">
        <v>183.47</v>
      </c>
      <c r="E64" s="6" t="n">
        <v>148.23</v>
      </c>
      <c r="F64" s="7" t="n">
        <v>2.08</v>
      </c>
      <c r="G64" s="8" t="n">
        <f aca="false">D64*Assumptions!$B$7</f>
        <v>9540.44</v>
      </c>
      <c r="H64" s="9" t="n">
        <f aca="false">F64*Assumptions!$B$4</f>
        <v>0.416</v>
      </c>
      <c r="I64" s="8" t="n">
        <f aca="false">SQRT(2*G64*Assumptions!$B$3/H64)</f>
        <v>1070.83495460318</v>
      </c>
      <c r="J64" s="8" t="n">
        <f aca="false">Assumptions!$B$6*E64*SQRT(Assumptions!$B$5)</f>
        <v>344.839501596678</v>
      </c>
      <c r="K64" s="8" t="n">
        <f aca="false">D64*Assumptions!$B$5+J64</f>
        <v>711.779501596678</v>
      </c>
      <c r="L64" s="8" t="n">
        <f aca="false">G64/I64</f>
        <v>8.90934682229848</v>
      </c>
      <c r="M64" s="8" t="n">
        <f aca="false">G64/I64*Assumptions!$B$3+I64/2*H64</f>
        <v>445.467341114924</v>
      </c>
      <c r="N64" s="8" t="n">
        <f aca="false">Assumptions!$B$8*Assumptions!$B$3+(G64/Assumptions!$B$8)/2*H64</f>
        <v>465.367626666667</v>
      </c>
    </row>
    <row r="65" customFormat="false" ht="15" hidden="false" customHeight="false" outlineLevel="0" collapsed="false">
      <c r="A65" s="2" t="s">
        <v>152</v>
      </c>
      <c r="B65" s="2" t="s">
        <v>153</v>
      </c>
      <c r="C65" s="2" t="s">
        <v>27</v>
      </c>
      <c r="D65" s="6" t="n">
        <v>97.88</v>
      </c>
      <c r="E65" s="6" t="n">
        <v>100.24</v>
      </c>
      <c r="F65" s="7" t="n">
        <v>4.15</v>
      </c>
      <c r="G65" s="8" t="n">
        <f aca="false">D65*Assumptions!$B$7</f>
        <v>5089.76</v>
      </c>
      <c r="H65" s="9" t="n">
        <f aca="false">F65*Assumptions!$B$4</f>
        <v>0.83</v>
      </c>
      <c r="I65" s="8" t="n">
        <f aca="false">SQRT(2*G65*Assumptions!$B$3/H65)</f>
        <v>553.725607311754</v>
      </c>
      <c r="J65" s="8" t="n">
        <f aca="false">Assumptions!$B$6*E65*SQRT(Assumptions!$B$5)</f>
        <v>233.196462524799</v>
      </c>
      <c r="K65" s="8" t="n">
        <f aca="false">D65*Assumptions!$B$5+J65</f>
        <v>428.956462524799</v>
      </c>
      <c r="L65" s="8" t="n">
        <f aca="false">G65/I65</f>
        <v>9.19184508137512</v>
      </c>
      <c r="M65" s="8" t="n">
        <f aca="false">G65/I65*Assumptions!$B$3+I65/2*H65</f>
        <v>459.592254068756</v>
      </c>
      <c r="N65" s="8" t="n">
        <f aca="false">Assumptions!$B$8*Assumptions!$B$3+(G65/Assumptions!$B$8)/2*H65</f>
        <v>476.020866666667</v>
      </c>
    </row>
    <row r="66" customFormat="false" ht="15" hidden="false" customHeight="false" outlineLevel="0" collapsed="false">
      <c r="A66" s="2" t="s">
        <v>154</v>
      </c>
      <c r="B66" s="2" t="s">
        <v>155</v>
      </c>
      <c r="C66" s="2" t="s">
        <v>27</v>
      </c>
      <c r="D66" s="6" t="n">
        <v>31.08</v>
      </c>
      <c r="E66" s="6" t="n">
        <v>48.79</v>
      </c>
      <c r="F66" s="7" t="n">
        <v>9.95</v>
      </c>
      <c r="G66" s="8" t="n">
        <f aca="false">D66*Assumptions!$B$7</f>
        <v>1616.16</v>
      </c>
      <c r="H66" s="9" t="n">
        <f aca="false">F66*Assumptions!$B$4</f>
        <v>1.99</v>
      </c>
      <c r="I66" s="8" t="n">
        <f aca="false">SQRT(2*G66*Assumptions!$B$3/H66)</f>
        <v>201.511873535728</v>
      </c>
      <c r="J66" s="8" t="n">
        <f aca="false">Assumptions!$B$6*E66*SQRT(Assumptions!$B$5)</f>
        <v>113.504144119962</v>
      </c>
      <c r="K66" s="8" t="n">
        <f aca="false">D66*Assumptions!$B$5+J66</f>
        <v>175.664144119962</v>
      </c>
      <c r="L66" s="8" t="n">
        <f aca="false">G66/I66</f>
        <v>8.02017256672199</v>
      </c>
      <c r="M66" s="8" t="n">
        <f aca="false">G66/I66*Assumptions!$B$3+I66/2*H66</f>
        <v>401.0086283361</v>
      </c>
      <c r="N66" s="8" t="n">
        <f aca="false">Assumptions!$B$8*Assumptions!$B$3+(G66/Assumptions!$B$8)/2*H66</f>
        <v>434.0066</v>
      </c>
    </row>
    <row r="67" customFormat="false" ht="15" hidden="false" customHeight="false" outlineLevel="0" collapsed="false">
      <c r="A67" s="2" t="s">
        <v>156</v>
      </c>
      <c r="B67" s="2" t="s">
        <v>157</v>
      </c>
      <c r="C67" s="2" t="s">
        <v>27</v>
      </c>
      <c r="D67" s="6" t="n">
        <v>30.96</v>
      </c>
      <c r="E67" s="6" t="n">
        <v>40.35</v>
      </c>
      <c r="F67" s="7" t="n">
        <v>10.95</v>
      </c>
      <c r="G67" s="8" t="n">
        <f aca="false">D67*Assumptions!$B$7</f>
        <v>1609.92</v>
      </c>
      <c r="H67" s="9" t="n">
        <f aca="false">F67*Assumptions!$B$4</f>
        <v>2.19</v>
      </c>
      <c r="I67" s="8" t="n">
        <f aca="false">SQRT(2*G67*Assumptions!$B$3/H67)</f>
        <v>191.718972414213</v>
      </c>
      <c r="J67" s="8" t="n">
        <f aca="false">Assumptions!$B$6*E67*SQRT(Assumptions!$B$5)</f>
        <v>93.869485862686</v>
      </c>
      <c r="K67" s="8" t="n">
        <f aca="false">D67*Assumptions!$B$5+J67</f>
        <v>155.789485862686</v>
      </c>
      <c r="L67" s="8" t="n">
        <f aca="false">G67/I67</f>
        <v>8.39729099174252</v>
      </c>
      <c r="M67" s="8" t="n">
        <f aca="false">G67/I67*Assumptions!$B$3+I67/2*H67</f>
        <v>419.864549587126</v>
      </c>
      <c r="N67" s="8" t="n">
        <f aca="false">Assumptions!$B$8*Assumptions!$B$3+(G67/Assumptions!$B$8)/2*H67</f>
        <v>446.9052</v>
      </c>
    </row>
    <row r="68" customFormat="false" ht="15" hidden="false" customHeight="false" outlineLevel="0" collapsed="false">
      <c r="A68" s="2" t="s">
        <v>158</v>
      </c>
      <c r="B68" s="2" t="s">
        <v>159</v>
      </c>
      <c r="C68" s="2" t="s">
        <v>27</v>
      </c>
      <c r="D68" s="6" t="n">
        <v>130</v>
      </c>
      <c r="E68" s="6" t="n">
        <v>229.93</v>
      </c>
      <c r="F68" s="7" t="n">
        <v>2.95</v>
      </c>
      <c r="G68" s="8" t="n">
        <f aca="false">D68*Assumptions!$B$7</f>
        <v>6760</v>
      </c>
      <c r="H68" s="9" t="n">
        <f aca="false">F68*Assumptions!$B$4</f>
        <v>0.59</v>
      </c>
      <c r="I68" s="8" t="n">
        <f aca="false">SQRT(2*G68*Assumptions!$B$3/H68)</f>
        <v>756.889262661457</v>
      </c>
      <c r="J68" s="8" t="n">
        <f aca="false">Assumptions!$B$6*E68*SQRT(Assumptions!$B$5)</f>
        <v>534.904854632153</v>
      </c>
      <c r="K68" s="8" t="n">
        <f aca="false">D68*Assumptions!$B$5+J68</f>
        <v>794.904854632153</v>
      </c>
      <c r="L68" s="8" t="n">
        <f aca="false">G68/I68</f>
        <v>8.93129329940519</v>
      </c>
      <c r="M68" s="8" t="n">
        <f aca="false">G68/I68*Assumptions!$B$3+I68/2*H68</f>
        <v>446.564664970259</v>
      </c>
      <c r="N68" s="8" t="n">
        <f aca="false">Assumptions!$B$8*Assumptions!$B$3+(G68/Assumptions!$B$8)/2*H68</f>
        <v>466.183333333333</v>
      </c>
    </row>
    <row r="69" customFormat="false" ht="15" hidden="false" customHeight="false" outlineLevel="0" collapsed="false">
      <c r="A69" s="2" t="s">
        <v>160</v>
      </c>
      <c r="B69" s="2" t="s">
        <v>161</v>
      </c>
      <c r="C69" s="2" t="s">
        <v>27</v>
      </c>
      <c r="D69" s="6" t="n">
        <v>234.04</v>
      </c>
      <c r="E69" s="6" t="n">
        <v>281.13</v>
      </c>
      <c r="F69" s="7" t="n">
        <v>1.45</v>
      </c>
      <c r="G69" s="8" t="n">
        <f aca="false">D69*Assumptions!$B$7</f>
        <v>12170.08</v>
      </c>
      <c r="H69" s="9" t="n">
        <f aca="false">F69*Assumptions!$B$4</f>
        <v>0.29</v>
      </c>
      <c r="I69" s="8" t="n">
        <f aca="false">SQRT(2*G69*Assumptions!$B$3/H69)</f>
        <v>1448.54742938311</v>
      </c>
      <c r="J69" s="8" t="n">
        <f aca="false">Assumptions!$B$6*E69*SQRT(Assumptions!$B$5)</f>
        <v>654.015577709465</v>
      </c>
      <c r="K69" s="8" t="n">
        <f aca="false">D69*Assumptions!$B$5+J69</f>
        <v>1122.09557770946</v>
      </c>
      <c r="L69" s="8" t="n">
        <f aca="false">G69/I69</f>
        <v>8.40157509042203</v>
      </c>
      <c r="M69" s="8" t="n">
        <f aca="false">G69/I69*Assumptions!$B$3+I69/2*H69</f>
        <v>420.078754521102</v>
      </c>
      <c r="N69" s="8" t="n">
        <f aca="false">Assumptions!$B$8*Assumptions!$B$3+(G69/Assumptions!$B$8)/2*H69</f>
        <v>447.055133333333</v>
      </c>
    </row>
    <row r="70" customFormat="false" ht="15" hidden="false" customHeight="false" outlineLevel="0" collapsed="false">
      <c r="A70" s="2" t="s">
        <v>162</v>
      </c>
      <c r="B70" s="2" t="s">
        <v>163</v>
      </c>
      <c r="C70" s="2" t="s">
        <v>27</v>
      </c>
      <c r="D70" s="6" t="n">
        <v>146.69</v>
      </c>
      <c r="E70" s="6" t="n">
        <v>101.43</v>
      </c>
      <c r="F70" s="7" t="n">
        <v>2.55</v>
      </c>
      <c r="G70" s="8" t="n">
        <f aca="false">D70*Assumptions!$B$7</f>
        <v>7627.88</v>
      </c>
      <c r="H70" s="9" t="n">
        <f aca="false">F70*Assumptions!$B$4</f>
        <v>0.51</v>
      </c>
      <c r="I70" s="8" t="n">
        <f aca="false">SQRT(2*G70*Assumptions!$B$3/H70)</f>
        <v>864.772439748758</v>
      </c>
      <c r="J70" s="8" t="n">
        <f aca="false">Assumptions!$B$6*E70*SQRT(Assumptions!$B$5)</f>
        <v>235.964856283823</v>
      </c>
      <c r="K70" s="8" t="n">
        <f aca="false">D70*Assumptions!$B$5+J70</f>
        <v>529.344856283823</v>
      </c>
      <c r="L70" s="8" t="n">
        <f aca="false">G70/I70</f>
        <v>8.82067888543733</v>
      </c>
      <c r="M70" s="8" t="n">
        <f aca="false">G70/I70*Assumptions!$B$3+I70/2*H70</f>
        <v>441.033944271867</v>
      </c>
      <c r="N70" s="8" t="n">
        <f aca="false">Assumptions!$B$8*Assumptions!$B$3+(G70/Assumptions!$B$8)/2*H70</f>
        <v>462.09245</v>
      </c>
    </row>
    <row r="71" customFormat="false" ht="15" hidden="false" customHeight="false" outlineLevel="0" collapsed="false">
      <c r="A71" s="2" t="s">
        <v>164</v>
      </c>
      <c r="B71" s="2" t="s">
        <v>165</v>
      </c>
      <c r="C71" s="2" t="s">
        <v>27</v>
      </c>
      <c r="D71" s="6" t="n">
        <v>117.61</v>
      </c>
      <c r="E71" s="6" t="n">
        <v>63.68</v>
      </c>
      <c r="F71" s="7" t="n">
        <v>2.95</v>
      </c>
      <c r="G71" s="8" t="n">
        <f aca="false">D71*Assumptions!$B$7</f>
        <v>6115.72</v>
      </c>
      <c r="H71" s="9" t="n">
        <f aca="false">F71*Assumptions!$B$4</f>
        <v>0.59</v>
      </c>
      <c r="I71" s="8" t="n">
        <f aca="false">SQRT(2*G71*Assumptions!$B$3/H71)</f>
        <v>719.91760357155</v>
      </c>
      <c r="J71" s="8" t="n">
        <f aca="false">Assumptions!$B$6*E71*SQRT(Assumptions!$B$5)</f>
        <v>148.143961827406</v>
      </c>
      <c r="K71" s="8" t="n">
        <f aca="false">D71*Assumptions!$B$5+J71</f>
        <v>383.363961827406</v>
      </c>
      <c r="L71" s="8" t="n">
        <f aca="false">G71/I71</f>
        <v>8.49502772214429</v>
      </c>
      <c r="M71" s="8" t="n">
        <f aca="false">G71/I71*Assumptions!$B$3+I71/2*H71</f>
        <v>424.751386107215</v>
      </c>
      <c r="N71" s="8" t="n">
        <f aca="false">Assumptions!$B$8*Assumptions!$B$3+(G71/Assumptions!$B$8)/2*H71</f>
        <v>450.344783333333</v>
      </c>
    </row>
    <row r="72" customFormat="false" ht="15" hidden="false" customHeight="false" outlineLevel="0" collapsed="false">
      <c r="A72" s="2" t="s">
        <v>166</v>
      </c>
      <c r="B72" s="2" t="s">
        <v>167</v>
      </c>
      <c r="C72" s="2" t="s">
        <v>27</v>
      </c>
      <c r="D72" s="6" t="n">
        <v>187.47</v>
      </c>
      <c r="E72" s="6" t="n">
        <v>123.29</v>
      </c>
      <c r="F72" s="7" t="n">
        <v>1.65</v>
      </c>
      <c r="G72" s="8" t="n">
        <f aca="false">D72*Assumptions!$B$7</f>
        <v>9748.44</v>
      </c>
      <c r="H72" s="9" t="n">
        <f aca="false">F72*Assumptions!$B$4</f>
        <v>0.33</v>
      </c>
      <c r="I72" s="8" t="n">
        <f aca="false">SQRT(2*G72*Assumptions!$B$3/H72)</f>
        <v>1215.33384863434</v>
      </c>
      <c r="J72" s="8" t="n">
        <f aca="false">Assumptions!$B$6*E72*SQRT(Assumptions!$B$5)</f>
        <v>286.81955172269</v>
      </c>
      <c r="K72" s="8" t="n">
        <f aca="false">D72*Assumptions!$B$5+J72</f>
        <v>661.75955172269</v>
      </c>
      <c r="L72" s="8" t="n">
        <f aca="false">G72/I72</f>
        <v>8.02120340098666</v>
      </c>
      <c r="M72" s="8" t="n">
        <f aca="false">G72/I72*Assumptions!$B$3+I72/2*H72</f>
        <v>401.060170049333</v>
      </c>
      <c r="N72" s="8" t="n">
        <f aca="false">Assumptions!$B$8*Assumptions!$B$3+(G72/Assumptions!$B$8)/2*H72</f>
        <v>434.04105</v>
      </c>
    </row>
    <row r="73" customFormat="false" ht="15" hidden="false" customHeight="false" outlineLevel="0" collapsed="false">
      <c r="A73" s="2" t="s">
        <v>168</v>
      </c>
      <c r="B73" s="2" t="s">
        <v>169</v>
      </c>
      <c r="C73" s="2" t="s">
        <v>27</v>
      </c>
      <c r="D73" s="6" t="n">
        <v>117.73</v>
      </c>
      <c r="E73" s="6" t="n">
        <v>87.83</v>
      </c>
      <c r="F73" s="7" t="n">
        <v>2.95</v>
      </c>
      <c r="G73" s="8" t="n">
        <f aca="false">D73*Assumptions!$B$7</f>
        <v>6121.96</v>
      </c>
      <c r="H73" s="9" t="n">
        <f aca="false">F73*Assumptions!$B$4</f>
        <v>0.59</v>
      </c>
      <c r="I73" s="8" t="n">
        <f aca="false">SQRT(2*G73*Assumptions!$B$3/H73)</f>
        <v>720.284783604045</v>
      </c>
      <c r="J73" s="8" t="n">
        <f aca="false">Assumptions!$B$6*E73*SQRT(Assumptions!$B$5)</f>
        <v>204.326070466412</v>
      </c>
      <c r="K73" s="8" t="n">
        <f aca="false">D73*Assumptions!$B$5+J73</f>
        <v>439.786070466412</v>
      </c>
      <c r="L73" s="8" t="n">
        <f aca="false">G73/I73</f>
        <v>8.49936044652773</v>
      </c>
      <c r="M73" s="8" t="n">
        <f aca="false">G73/I73*Assumptions!$B$3+I73/2*H73</f>
        <v>424.968022326386</v>
      </c>
      <c r="N73" s="8" t="n">
        <f aca="false">Assumptions!$B$8*Assumptions!$B$3+(G73/Assumptions!$B$8)/2*H73</f>
        <v>450.498183333333</v>
      </c>
    </row>
    <row r="74" customFormat="false" ht="15" hidden="false" customHeight="false" outlineLevel="0" collapsed="false">
      <c r="A74" s="2" t="s">
        <v>170</v>
      </c>
      <c r="B74" s="2" t="s">
        <v>171</v>
      </c>
      <c r="C74" s="2" t="s">
        <v>27</v>
      </c>
      <c r="D74" s="6" t="n">
        <v>200.84</v>
      </c>
      <c r="E74" s="6" t="n">
        <v>85.34</v>
      </c>
      <c r="F74" s="7" t="n">
        <v>1.65</v>
      </c>
      <c r="G74" s="8" t="n">
        <f aca="false">D74*Assumptions!$B$7</f>
        <v>10443.68</v>
      </c>
      <c r="H74" s="9" t="n">
        <f aca="false">F74*Assumptions!$B$4</f>
        <v>0.33</v>
      </c>
      <c r="I74" s="8" t="n">
        <f aca="false">SQRT(2*G74*Assumptions!$B$3/H74)</f>
        <v>1257.92517964136</v>
      </c>
      <c r="J74" s="8" t="n">
        <f aca="false">Assumptions!$B$6*E74*SQRT(Assumptions!$B$5)</f>
        <v>198.533381004253</v>
      </c>
      <c r="K74" s="8" t="n">
        <f aca="false">D74*Assumptions!$B$5+J74</f>
        <v>600.213381004253</v>
      </c>
      <c r="L74" s="8" t="n">
        <f aca="false">G74/I74</f>
        <v>8.302306185633</v>
      </c>
      <c r="M74" s="8" t="n">
        <f aca="false">G74/I74*Assumptions!$B$3+I74/2*H74</f>
        <v>415.11530928165</v>
      </c>
      <c r="N74" s="8" t="n">
        <f aca="false">Assumptions!$B$8*Assumptions!$B$3+(G74/Assumptions!$B$8)/2*H74</f>
        <v>443.6006</v>
      </c>
    </row>
    <row r="75" customFormat="false" ht="15" hidden="false" customHeight="false" outlineLevel="0" collapsed="false">
      <c r="A75" s="2" t="s">
        <v>172</v>
      </c>
      <c r="B75" s="2" t="s">
        <v>173</v>
      </c>
      <c r="C75" s="2" t="s">
        <v>27</v>
      </c>
      <c r="D75" s="6" t="n">
        <v>38.78</v>
      </c>
      <c r="E75" s="6" t="n">
        <v>19.99</v>
      </c>
      <c r="F75" s="7" t="n">
        <v>8.95</v>
      </c>
      <c r="G75" s="8" t="n">
        <f aca="false">D75*Assumptions!$B$7</f>
        <v>2016.56</v>
      </c>
      <c r="H75" s="9" t="n">
        <f aca="false">F75*Assumptions!$B$4</f>
        <v>1.79</v>
      </c>
      <c r="I75" s="8" t="n">
        <f aca="false">SQRT(2*G75*Assumptions!$B$3/H75)</f>
        <v>237.336241691217</v>
      </c>
      <c r="J75" s="8" t="n">
        <f aca="false">Assumptions!$B$6*E75*SQRT(Assumptions!$B$5)</f>
        <v>46.5043623889738</v>
      </c>
      <c r="K75" s="8" t="n">
        <f aca="false">D75*Assumptions!$B$5+J75</f>
        <v>124.064362388974</v>
      </c>
      <c r="L75" s="8" t="n">
        <f aca="false">G75/I75</f>
        <v>8.49663745254557</v>
      </c>
      <c r="M75" s="8" t="n">
        <f aca="false">G75/I75*Assumptions!$B$3+I75/2*H75</f>
        <v>424.831872627278</v>
      </c>
      <c r="N75" s="8" t="n">
        <f aca="false">Assumptions!$B$8*Assumptions!$B$3+(G75/Assumptions!$B$8)/2*H75</f>
        <v>450.401766666667</v>
      </c>
    </row>
    <row r="76" customFormat="false" ht="15" hidden="false" customHeight="false" outlineLevel="0" collapsed="false">
      <c r="A76" s="2" t="s">
        <v>174</v>
      </c>
      <c r="B76" s="2" t="s">
        <v>175</v>
      </c>
      <c r="C76" s="2" t="s">
        <v>27</v>
      </c>
      <c r="D76" s="6" t="n">
        <v>311.16</v>
      </c>
      <c r="E76" s="6" t="n">
        <v>617.23</v>
      </c>
      <c r="F76" s="7" t="n">
        <v>1.25</v>
      </c>
      <c r="G76" s="8" t="n">
        <f aca="false">D76*Assumptions!$B$7</f>
        <v>16180.32</v>
      </c>
      <c r="H76" s="9" t="n">
        <f aca="false">F76*Assumptions!$B$4</f>
        <v>0.25</v>
      </c>
      <c r="I76" s="8" t="n">
        <f aca="false">SQRT(2*G76*Assumptions!$B$3/H76)</f>
        <v>1798.90633441544</v>
      </c>
      <c r="J76" s="8" t="n">
        <f aca="false">Assumptions!$B$6*E76*SQRT(Assumptions!$B$5)</f>
        <v>1435.91233603533</v>
      </c>
      <c r="K76" s="8" t="n">
        <f aca="false">D76*Assumptions!$B$5+J76</f>
        <v>2058.23233603533</v>
      </c>
      <c r="L76" s="8" t="n">
        <f aca="false">G76/I76</f>
        <v>8.99453167207721</v>
      </c>
      <c r="M76" s="8" t="n">
        <f aca="false">G76/I76*Assumptions!$B$3+I76/2*H76</f>
        <v>449.72658360386</v>
      </c>
      <c r="N76" s="8" t="n">
        <f aca="false">Assumptions!$B$8*Assumptions!$B$3+(G76/Assumptions!$B$8)/2*H76</f>
        <v>468.545</v>
      </c>
    </row>
    <row r="77" customFormat="false" ht="15" hidden="false" customHeight="false" outlineLevel="0" collapsed="false">
      <c r="A77" s="2" t="s">
        <v>176</v>
      </c>
      <c r="B77" s="2" t="s">
        <v>177</v>
      </c>
      <c r="C77" s="2" t="s">
        <v>27</v>
      </c>
      <c r="D77" s="6" t="n">
        <v>64.73</v>
      </c>
      <c r="E77" s="6" t="n">
        <v>92.42</v>
      </c>
      <c r="F77" s="7" t="n">
        <v>4.95</v>
      </c>
      <c r="G77" s="8" t="n">
        <f aca="false">D77*Assumptions!$B$7</f>
        <v>3365.96</v>
      </c>
      <c r="H77" s="9" t="n">
        <f aca="false">F77*Assumptions!$B$4</f>
        <v>0.99</v>
      </c>
      <c r="I77" s="8" t="n">
        <f aca="false">SQRT(2*G77*Assumptions!$B$3/H77)</f>
        <v>412.308112699689</v>
      </c>
      <c r="J77" s="8" t="n">
        <f aca="false">Assumptions!$B$6*E77*SQRT(Assumptions!$B$5)</f>
        <v>215.004160679788</v>
      </c>
      <c r="K77" s="8" t="n">
        <f aca="false">D77*Assumptions!$B$5+J77</f>
        <v>344.464160679788</v>
      </c>
      <c r="L77" s="8" t="n">
        <f aca="false">G77/I77</f>
        <v>8.16370063145385</v>
      </c>
      <c r="M77" s="8" t="n">
        <f aca="false">G77/I77*Assumptions!$B$3+I77/2*H77</f>
        <v>408.185031572693</v>
      </c>
      <c r="N77" s="8" t="n">
        <f aca="false">Assumptions!$B$8*Assumptions!$B$3+(G77/Assumptions!$B$8)/2*H77</f>
        <v>438.84585</v>
      </c>
    </row>
    <row r="79" customFormat="false" ht="15" hidden="false" customHeight="false" outlineLevel="0" collapsed="false">
      <c r="B79" s="1" t="s">
        <v>178</v>
      </c>
      <c r="M79" s="10" t="n">
        <f aca="false">SUM(M2:M77)</f>
        <v>39727.4630188907</v>
      </c>
      <c r="N79" s="10" t="n">
        <f aca="false">SUM(N2:N77)</f>
        <v>41452.0091766667</v>
      </c>
    </row>
    <row r="80" customFormat="false" ht="15" hidden="false" customHeight="false" outlineLevel="0" collapsed="false">
      <c r="B80" s="1" t="s">
        <v>179</v>
      </c>
      <c r="M80" s="11" t="n">
        <f aca="false">1-M79/N79</f>
        <v>0.0416034395444148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12" t="s">
        <v>181</v>
      </c>
      <c r="B2" s="12" t="s">
        <v>182</v>
      </c>
      <c r="C2" s="12" t="s">
        <v>183</v>
      </c>
      <c r="D2" s="12" t="s">
        <v>184</v>
      </c>
      <c r="E2" s="12" t="s">
        <v>185</v>
      </c>
    </row>
    <row r="3" customFormat="false" ht="15" hidden="false" customHeight="false" outlineLevel="0" collapsed="false">
      <c r="A3" s="2" t="s">
        <v>27</v>
      </c>
      <c r="B3" s="2" t="n">
        <v>847</v>
      </c>
      <c r="C3" s="2" t="n">
        <v>7783842.9</v>
      </c>
      <c r="D3" s="2" t="n">
        <v>21.7</v>
      </c>
      <c r="E3" s="2" t="n">
        <v>80</v>
      </c>
    </row>
    <row r="4" customFormat="false" ht="15" hidden="false" customHeight="false" outlineLevel="0" collapsed="false">
      <c r="A4" s="2" t="s">
        <v>186</v>
      </c>
      <c r="B4" s="2" t="n">
        <v>978</v>
      </c>
      <c r="C4" s="2" t="n">
        <v>1461775.6</v>
      </c>
      <c r="D4" s="2" t="n">
        <v>25.1</v>
      </c>
      <c r="E4" s="2" t="n">
        <v>15</v>
      </c>
    </row>
    <row r="5" customFormat="false" ht="15" hidden="false" customHeight="false" outlineLevel="0" collapsed="false">
      <c r="A5" s="2" t="s">
        <v>187</v>
      </c>
      <c r="B5" s="2" t="n">
        <v>2070</v>
      </c>
      <c r="C5" s="2" t="n">
        <v>486868.1</v>
      </c>
      <c r="D5" s="2" t="n">
        <v>53.1</v>
      </c>
      <c r="E5" s="2" t="n">
        <v>5</v>
      </c>
    </row>
    <row r="8" customFormat="false" ht="15" hidden="false" customHeight="false" outlineLevel="0" collapsed="false">
      <c r="A8" s="1" t="s">
        <v>188</v>
      </c>
    </row>
    <row r="9" customFormat="false" ht="15" hidden="false" customHeight="false" outlineLevel="0" collapsed="false">
      <c r="A9" s="12" t="s">
        <v>189</v>
      </c>
      <c r="B9" s="12" t="s">
        <v>190</v>
      </c>
    </row>
    <row r="10" customFormat="false" ht="15" hidden="false" customHeight="false" outlineLevel="0" collapsed="false">
      <c r="A10" s="2" t="s">
        <v>191</v>
      </c>
      <c r="B10" s="2" t="n">
        <v>59.9</v>
      </c>
    </row>
    <row r="11" customFormat="false" ht="15" hidden="false" customHeight="false" outlineLevel="0" collapsed="false">
      <c r="A11" s="2" t="s">
        <v>192</v>
      </c>
      <c r="B11" s="2" t="n">
        <v>47.8</v>
      </c>
    </row>
    <row r="12" customFormat="false" ht="15" hidden="false" customHeight="false" outlineLevel="0" collapsed="false">
      <c r="A12" s="2" t="s">
        <v>193</v>
      </c>
      <c r="B12" s="2" t="n">
        <v>48.5</v>
      </c>
    </row>
    <row r="14" customFormat="false" ht="15" hidden="false" customHeight="false" outlineLevel="0" collapsed="false">
      <c r="A14" s="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2026-10-09T12:42:30Z</dcterms:created>
  <dc:creator>openpyxl</dc:creator>
  <dc:description/>
  <dc:language>en-US</dc:language>
  <cp:lastModifiedBy/>
  <dcterms:modified xsi:type="dcterms:W3CDTF">2026-10-09T12:42:30Z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